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j8\Downloads\"/>
    </mc:Choice>
  </mc:AlternateContent>
  <xr:revisionPtr revIDLastSave="0" documentId="13_ncr:1_{4BC4324C-54DF-4FB4-B87A-435A2BC8D54E}" xr6:coauthVersionLast="47" xr6:coauthVersionMax="47" xr10:uidLastSave="{00000000-0000-0000-0000-000000000000}"/>
  <bookViews>
    <workbookView xWindow="-108" yWindow="-108" windowWidth="23256" windowHeight="12456" activeTab="2" xr2:uid="{9DA9CA1D-8B62-4D2D-A7DF-257820A61D34}"/>
  </bookViews>
  <sheets>
    <sheet name="Template" sheetId="1" r:id="rId1"/>
    <sheet name="Historicals" sheetId="4" r:id="rId2"/>
    <sheet name="Model" sheetId="2" r:id="rId3"/>
    <sheet name="Scenarios" sheetId="6" r:id="rId4"/>
    <sheet name="Comps_Data" sheetId="8" r:id="rId5"/>
    <sheet name="Comps" sheetId="7" r:id="rId6"/>
    <sheet name="WACC" sheetId="10" r:id="rId7"/>
    <sheet name="Beta" sheetId="12" r:id="rId8"/>
    <sheet name="Market Data" sheetId="9" r:id="rId9"/>
  </sheets>
  <externalReferences>
    <externalReference r:id="rId10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Worksheet_6efc7687-fb94-4c1b-a786-bf08f6aebdf1" name="Worksheet" connection="Query - Workshee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9" i="2" l="1"/>
  <c r="E134" i="2"/>
  <c r="E131" i="2"/>
  <c r="J142" i="2"/>
  <c r="K142" i="2" s="1"/>
  <c r="L142" i="2" s="1"/>
  <c r="M142" i="2" s="1"/>
  <c r="I140" i="2"/>
  <c r="J140" i="2" s="1"/>
  <c r="K140" i="2" s="1"/>
  <c r="L140" i="2" s="1"/>
  <c r="M140" i="2" s="1"/>
  <c r="H141" i="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E270" i="12"/>
  <c r="E271" i="12"/>
  <c r="E272" i="12"/>
  <c r="E273" i="12"/>
  <c r="E274" i="12"/>
  <c r="E275" i="12"/>
  <c r="E276" i="12"/>
  <c r="E277" i="12"/>
  <c r="E278" i="12"/>
  <c r="E279" i="12"/>
  <c r="E280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E310" i="12"/>
  <c r="E311" i="12"/>
  <c r="E312" i="12"/>
  <c r="E313" i="12"/>
  <c r="E314" i="12"/>
  <c r="E315" i="12"/>
  <c r="E316" i="12"/>
  <c r="E317" i="12"/>
  <c r="E318" i="12"/>
  <c r="E319" i="12"/>
  <c r="E320" i="12"/>
  <c r="E321" i="12"/>
  <c r="E322" i="12"/>
  <c r="E323" i="12"/>
  <c r="E324" i="12"/>
  <c r="E325" i="12"/>
  <c r="E326" i="12"/>
  <c r="E327" i="12"/>
  <c r="E328" i="12"/>
  <c r="E329" i="12"/>
  <c r="E330" i="12"/>
  <c r="E331" i="12"/>
  <c r="E332" i="12"/>
  <c r="E333" i="12"/>
  <c r="E334" i="12"/>
  <c r="E335" i="12"/>
  <c r="E336" i="12"/>
  <c r="E337" i="12"/>
  <c r="E338" i="12"/>
  <c r="E339" i="12"/>
  <c r="E340" i="12"/>
  <c r="E341" i="12"/>
  <c r="E342" i="12"/>
  <c r="E343" i="12"/>
  <c r="E344" i="12"/>
  <c r="E345" i="12"/>
  <c r="E346" i="12"/>
  <c r="E347" i="12"/>
  <c r="E348" i="12"/>
  <c r="E349" i="12"/>
  <c r="E350" i="12"/>
  <c r="E351" i="12"/>
  <c r="E352" i="12"/>
  <c r="E353" i="12"/>
  <c r="E354" i="12"/>
  <c r="E355" i="12"/>
  <c r="E356" i="12"/>
  <c r="E357" i="12"/>
  <c r="E358" i="12"/>
  <c r="E359" i="12"/>
  <c r="E360" i="12"/>
  <c r="E361" i="12"/>
  <c r="E362" i="12"/>
  <c r="E363" i="12"/>
  <c r="E364" i="12"/>
  <c r="E365" i="12"/>
  <c r="E366" i="12"/>
  <c r="E367" i="12"/>
  <c r="E368" i="12"/>
  <c r="E369" i="12"/>
  <c r="E370" i="12"/>
  <c r="E371" i="12"/>
  <c r="E372" i="12"/>
  <c r="E373" i="12"/>
  <c r="E374" i="12"/>
  <c r="E375" i="12"/>
  <c r="E376" i="12"/>
  <c r="E377" i="12"/>
  <c r="E378" i="12"/>
  <c r="E379" i="12"/>
  <c r="E380" i="12"/>
  <c r="E381" i="12"/>
  <c r="E382" i="12"/>
  <c r="E383" i="12"/>
  <c r="E384" i="12"/>
  <c r="E385" i="12"/>
  <c r="E386" i="12"/>
  <c r="E387" i="12"/>
  <c r="E388" i="12"/>
  <c r="E389" i="12"/>
  <c r="E390" i="12"/>
  <c r="E391" i="12"/>
  <c r="E392" i="12"/>
  <c r="E393" i="12"/>
  <c r="E394" i="12"/>
  <c r="E395" i="12"/>
  <c r="E396" i="12"/>
  <c r="E397" i="12"/>
  <c r="E398" i="12"/>
  <c r="E399" i="12"/>
  <c r="E400" i="12"/>
  <c r="E401" i="12"/>
  <c r="E402" i="12"/>
  <c r="E403" i="12"/>
  <c r="E404" i="12"/>
  <c r="E405" i="12"/>
  <c r="E406" i="12"/>
  <c r="E407" i="12"/>
  <c r="E408" i="12"/>
  <c r="E409" i="12"/>
  <c r="E410" i="12"/>
  <c r="E411" i="12"/>
  <c r="E412" i="12"/>
  <c r="E413" i="12"/>
  <c r="E414" i="12"/>
  <c r="E415" i="12"/>
  <c r="E416" i="12"/>
  <c r="E417" i="12"/>
  <c r="E418" i="12"/>
  <c r="E419" i="12"/>
  <c r="E420" i="12"/>
  <c r="E421" i="12"/>
  <c r="E422" i="12"/>
  <c r="E423" i="12"/>
  <c r="E424" i="12"/>
  <c r="E425" i="12"/>
  <c r="E426" i="12"/>
  <c r="E427" i="12"/>
  <c r="E428" i="12"/>
  <c r="E429" i="12"/>
  <c r="E430" i="12"/>
  <c r="E431" i="12"/>
  <c r="E432" i="12"/>
  <c r="E433" i="12"/>
  <c r="E434" i="12"/>
  <c r="E435" i="12"/>
  <c r="E436" i="12"/>
  <c r="E437" i="12"/>
  <c r="E438" i="12"/>
  <c r="E439" i="12"/>
  <c r="E440" i="12"/>
  <c r="E441" i="12"/>
  <c r="E442" i="12"/>
  <c r="E443" i="12"/>
  <c r="E444" i="12"/>
  <c r="E445" i="12"/>
  <c r="E446" i="12"/>
  <c r="E447" i="12"/>
  <c r="E448" i="12"/>
  <c r="E449" i="12"/>
  <c r="E450" i="12"/>
  <c r="E451" i="12"/>
  <c r="E452" i="12"/>
  <c r="E453" i="12"/>
  <c r="E454" i="12"/>
  <c r="E455" i="12"/>
  <c r="E456" i="12"/>
  <c r="E457" i="12"/>
  <c r="E458" i="12"/>
  <c r="E459" i="12"/>
  <c r="E460" i="12"/>
  <c r="E461" i="12"/>
  <c r="E462" i="12"/>
  <c r="E463" i="12"/>
  <c r="E464" i="12"/>
  <c r="E465" i="12"/>
  <c r="E466" i="12"/>
  <c r="E467" i="12"/>
  <c r="E468" i="12"/>
  <c r="E469" i="12"/>
  <c r="E470" i="12"/>
  <c r="E471" i="12"/>
  <c r="E472" i="12"/>
  <c r="E473" i="12"/>
  <c r="E474" i="12"/>
  <c r="E475" i="12"/>
  <c r="E476" i="12"/>
  <c r="E477" i="12"/>
  <c r="E478" i="12"/>
  <c r="E479" i="12"/>
  <c r="E480" i="12"/>
  <c r="E481" i="12"/>
  <c r="E482" i="12"/>
  <c r="E483" i="12"/>
  <c r="E484" i="12"/>
  <c r="E485" i="12"/>
  <c r="E486" i="12"/>
  <c r="E487" i="12"/>
  <c r="E488" i="12"/>
  <c r="E489" i="12"/>
  <c r="E490" i="12"/>
  <c r="E491" i="12"/>
  <c r="E492" i="12"/>
  <c r="E493" i="12"/>
  <c r="E494" i="12"/>
  <c r="E495" i="12"/>
  <c r="E496" i="12"/>
  <c r="E497" i="12"/>
  <c r="E498" i="12"/>
  <c r="E499" i="12"/>
  <c r="E500" i="12"/>
  <c r="E501" i="12"/>
  <c r="E502" i="12"/>
  <c r="E503" i="12"/>
  <c r="E504" i="12"/>
  <c r="E505" i="12"/>
  <c r="E506" i="12"/>
  <c r="E507" i="12"/>
  <c r="E508" i="12"/>
  <c r="E509" i="12"/>
  <c r="E510" i="12"/>
  <c r="E511" i="12"/>
  <c r="E512" i="12"/>
  <c r="E513" i="12"/>
  <c r="E514" i="12"/>
  <c r="E515" i="12"/>
  <c r="E516" i="12"/>
  <c r="E517" i="12"/>
  <c r="E518" i="12"/>
  <c r="E519" i="12"/>
  <c r="E520" i="12"/>
  <c r="E521" i="12"/>
  <c r="E522" i="12"/>
  <c r="E523" i="12"/>
  <c r="E524" i="12"/>
  <c r="E525" i="12"/>
  <c r="E526" i="12"/>
  <c r="E527" i="12"/>
  <c r="E528" i="12"/>
  <c r="E529" i="12"/>
  <c r="E530" i="12"/>
  <c r="E531" i="12"/>
  <c r="E532" i="12"/>
  <c r="E533" i="12"/>
  <c r="E534" i="12"/>
  <c r="E535" i="12"/>
  <c r="E536" i="12"/>
  <c r="E537" i="12"/>
  <c r="E538" i="12"/>
  <c r="E539" i="12"/>
  <c r="E540" i="12"/>
  <c r="E541" i="12"/>
  <c r="E542" i="12"/>
  <c r="E543" i="12"/>
  <c r="E544" i="12"/>
  <c r="E545" i="12"/>
  <c r="E546" i="12"/>
  <c r="E547" i="12"/>
  <c r="E548" i="12"/>
  <c r="E549" i="12"/>
  <c r="E550" i="12"/>
  <c r="E551" i="12"/>
  <c r="E552" i="12"/>
  <c r="E553" i="12"/>
  <c r="E554" i="12"/>
  <c r="E555" i="12"/>
  <c r="E556" i="12"/>
  <c r="E557" i="12"/>
  <c r="E558" i="12"/>
  <c r="E559" i="12"/>
  <c r="E560" i="12"/>
  <c r="E561" i="12"/>
  <c r="E562" i="12"/>
  <c r="E563" i="12"/>
  <c r="E564" i="12"/>
  <c r="E565" i="12"/>
  <c r="E566" i="12"/>
  <c r="E567" i="12"/>
  <c r="E568" i="12"/>
  <c r="E569" i="12"/>
  <c r="E570" i="12"/>
  <c r="E571" i="12"/>
  <c r="E572" i="12"/>
  <c r="E573" i="12"/>
  <c r="E574" i="12"/>
  <c r="E575" i="12"/>
  <c r="E576" i="12"/>
  <c r="E577" i="12"/>
  <c r="E578" i="12"/>
  <c r="E579" i="12"/>
  <c r="E580" i="12"/>
  <c r="E581" i="12"/>
  <c r="E582" i="12"/>
  <c r="E583" i="12"/>
  <c r="E584" i="12"/>
  <c r="E585" i="12"/>
  <c r="E586" i="12"/>
  <c r="E587" i="12"/>
  <c r="E588" i="12"/>
  <c r="E589" i="12"/>
  <c r="E590" i="12"/>
  <c r="E591" i="12"/>
  <c r="E592" i="12"/>
  <c r="E593" i="12"/>
  <c r="E594" i="12"/>
  <c r="E595" i="12"/>
  <c r="E596" i="12"/>
  <c r="E597" i="12"/>
  <c r="E598" i="12"/>
  <c r="E599" i="12"/>
  <c r="E600" i="12"/>
  <c r="E601" i="12"/>
  <c r="E602" i="12"/>
  <c r="E603" i="12"/>
  <c r="E604" i="12"/>
  <c r="E605" i="12"/>
  <c r="E606" i="12"/>
  <c r="E607" i="12"/>
  <c r="E608" i="12"/>
  <c r="E609" i="12"/>
  <c r="E610" i="12"/>
  <c r="E611" i="12"/>
  <c r="E612" i="12"/>
  <c r="E613" i="12"/>
  <c r="E614" i="12"/>
  <c r="E615" i="12"/>
  <c r="E616" i="12"/>
  <c r="E617" i="12"/>
  <c r="E618" i="12"/>
  <c r="E619" i="12"/>
  <c r="E620" i="12"/>
  <c r="E621" i="12"/>
  <c r="E622" i="12"/>
  <c r="E623" i="12"/>
  <c r="E624" i="12"/>
  <c r="E625" i="12"/>
  <c r="E626" i="12"/>
  <c r="E627" i="12"/>
  <c r="E628" i="12"/>
  <c r="E629" i="12"/>
  <c r="E630" i="12"/>
  <c r="E631" i="12"/>
  <c r="E632" i="12"/>
  <c r="E633" i="12"/>
  <c r="E634" i="12"/>
  <c r="E635" i="12"/>
  <c r="E636" i="12"/>
  <c r="E637" i="12"/>
  <c r="E638" i="12"/>
  <c r="E639" i="12"/>
  <c r="E640" i="12"/>
  <c r="E641" i="12"/>
  <c r="E642" i="12"/>
  <c r="E643" i="12"/>
  <c r="E644" i="12"/>
  <c r="E645" i="12"/>
  <c r="E646" i="12"/>
  <c r="E647" i="12"/>
  <c r="E648" i="12"/>
  <c r="E649" i="12"/>
  <c r="E650" i="12"/>
  <c r="E651" i="12"/>
  <c r="E652" i="12"/>
  <c r="E653" i="12"/>
  <c r="E654" i="12"/>
  <c r="E655" i="12"/>
  <c r="E656" i="12"/>
  <c r="E657" i="12"/>
  <c r="E658" i="12"/>
  <c r="E659" i="12"/>
  <c r="E660" i="12"/>
  <c r="E661" i="12"/>
  <c r="E662" i="12"/>
  <c r="E663" i="12"/>
  <c r="E664" i="12"/>
  <c r="E665" i="12"/>
  <c r="E666" i="12"/>
  <c r="E667" i="12"/>
  <c r="E668" i="12"/>
  <c r="E669" i="12"/>
  <c r="E670" i="12"/>
  <c r="E671" i="12"/>
  <c r="E672" i="12"/>
  <c r="E673" i="12"/>
  <c r="E674" i="12"/>
  <c r="E675" i="12"/>
  <c r="E676" i="12"/>
  <c r="E677" i="12"/>
  <c r="E678" i="12"/>
  <c r="E679" i="12"/>
  <c r="E680" i="12"/>
  <c r="E681" i="12"/>
  <c r="E682" i="12"/>
  <c r="E683" i="12"/>
  <c r="E684" i="12"/>
  <c r="E685" i="12"/>
  <c r="E686" i="12"/>
  <c r="E687" i="12"/>
  <c r="E688" i="12"/>
  <c r="E689" i="12"/>
  <c r="E690" i="12"/>
  <c r="E691" i="12"/>
  <c r="E692" i="12"/>
  <c r="E693" i="12"/>
  <c r="E694" i="12"/>
  <c r="E695" i="12"/>
  <c r="E696" i="12"/>
  <c r="E697" i="12"/>
  <c r="E698" i="12"/>
  <c r="E699" i="12"/>
  <c r="E700" i="12"/>
  <c r="E701" i="12"/>
  <c r="E702" i="12"/>
  <c r="E703" i="12"/>
  <c r="E704" i="12"/>
  <c r="E705" i="12"/>
  <c r="E706" i="12"/>
  <c r="E707" i="12"/>
  <c r="E708" i="12"/>
  <c r="E709" i="12"/>
  <c r="E710" i="12"/>
  <c r="E711" i="12"/>
  <c r="E712" i="12"/>
  <c r="E713" i="12"/>
  <c r="E714" i="12"/>
  <c r="E715" i="12"/>
  <c r="E716" i="12"/>
  <c r="E717" i="12"/>
  <c r="E718" i="12"/>
  <c r="E719" i="12"/>
  <c r="E720" i="12"/>
  <c r="E721" i="12"/>
  <c r="E722" i="12"/>
  <c r="E723" i="12"/>
  <c r="E724" i="12"/>
  <c r="E725" i="12"/>
  <c r="E726" i="12"/>
  <c r="E727" i="12"/>
  <c r="E728" i="12"/>
  <c r="E729" i="12"/>
  <c r="E730" i="12"/>
  <c r="E731" i="12"/>
  <c r="E732" i="12"/>
  <c r="E733" i="12"/>
  <c r="E734" i="12"/>
  <c r="E735" i="12"/>
  <c r="E736" i="12"/>
  <c r="E737" i="12"/>
  <c r="E738" i="12"/>
  <c r="E739" i="12"/>
  <c r="E740" i="12"/>
  <c r="E741" i="12"/>
  <c r="E742" i="12"/>
  <c r="E743" i="12"/>
  <c r="E744" i="12"/>
  <c r="E745" i="12"/>
  <c r="E746" i="12"/>
  <c r="E747" i="12"/>
  <c r="E748" i="12"/>
  <c r="E749" i="12"/>
  <c r="E750" i="12"/>
  <c r="E751" i="12"/>
  <c r="E752" i="12"/>
  <c r="E753" i="12"/>
  <c r="E754" i="12"/>
  <c r="E755" i="12"/>
  <c r="E756" i="12"/>
  <c r="E757" i="12"/>
  <c r="E758" i="12"/>
  <c r="E759" i="12"/>
  <c r="E760" i="12"/>
  <c r="E761" i="12"/>
  <c r="E762" i="12"/>
  <c r="E763" i="12"/>
  <c r="E764" i="12"/>
  <c r="E765" i="12"/>
  <c r="E766" i="12"/>
  <c r="E767" i="12"/>
  <c r="E768" i="12"/>
  <c r="E769" i="12"/>
  <c r="E770" i="12"/>
  <c r="E771" i="12"/>
  <c r="E772" i="12"/>
  <c r="E773" i="12"/>
  <c r="E774" i="12"/>
  <c r="E775" i="12"/>
  <c r="E776" i="12"/>
  <c r="E777" i="12"/>
  <c r="E778" i="12"/>
  <c r="E779" i="12"/>
  <c r="E780" i="12"/>
  <c r="E781" i="12"/>
  <c r="E782" i="12"/>
  <c r="E783" i="12"/>
  <c r="E784" i="12"/>
  <c r="E785" i="12"/>
  <c r="E786" i="12"/>
  <c r="E787" i="12"/>
  <c r="E788" i="12"/>
  <c r="E789" i="12"/>
  <c r="E790" i="12"/>
  <c r="E791" i="12"/>
  <c r="E792" i="12"/>
  <c r="E793" i="12"/>
  <c r="E794" i="12"/>
  <c r="E795" i="12"/>
  <c r="E796" i="12"/>
  <c r="E797" i="12"/>
  <c r="E798" i="12"/>
  <c r="E799" i="12"/>
  <c r="E800" i="12"/>
  <c r="E801" i="12"/>
  <c r="E802" i="12"/>
  <c r="E803" i="12"/>
  <c r="E804" i="12"/>
  <c r="E805" i="12"/>
  <c r="E806" i="12"/>
  <c r="E807" i="12"/>
  <c r="E808" i="12"/>
  <c r="E809" i="12"/>
  <c r="E810" i="12"/>
  <c r="E811" i="12"/>
  <c r="E812" i="12"/>
  <c r="E813" i="12"/>
  <c r="E814" i="12"/>
  <c r="E815" i="12"/>
  <c r="E816" i="12"/>
  <c r="E817" i="12"/>
  <c r="E818" i="12"/>
  <c r="E819" i="12"/>
  <c r="E820" i="12"/>
  <c r="E821" i="12"/>
  <c r="E822" i="12"/>
  <c r="E823" i="12"/>
  <c r="E824" i="12"/>
  <c r="E825" i="12"/>
  <c r="E826" i="12"/>
  <c r="E827" i="12"/>
  <c r="E828" i="12"/>
  <c r="E829" i="12"/>
  <c r="E830" i="12"/>
  <c r="E831" i="12"/>
  <c r="E832" i="12"/>
  <c r="E833" i="12"/>
  <c r="E834" i="12"/>
  <c r="E835" i="12"/>
  <c r="E836" i="12"/>
  <c r="E837" i="12"/>
  <c r="E838" i="12"/>
  <c r="E839" i="12"/>
  <c r="E840" i="12"/>
  <c r="E841" i="12"/>
  <c r="E842" i="12"/>
  <c r="E843" i="12"/>
  <c r="E844" i="12"/>
  <c r="E845" i="12"/>
  <c r="E846" i="12"/>
  <c r="E847" i="12"/>
  <c r="E848" i="12"/>
  <c r="E849" i="12"/>
  <c r="E850" i="12"/>
  <c r="E851" i="12"/>
  <c r="E852" i="12"/>
  <c r="E853" i="12"/>
  <c r="E854" i="12"/>
  <c r="E855" i="12"/>
  <c r="E856" i="12"/>
  <c r="E857" i="12"/>
  <c r="E858" i="12"/>
  <c r="E859" i="12"/>
  <c r="E860" i="12"/>
  <c r="E861" i="12"/>
  <c r="E862" i="12"/>
  <c r="E863" i="12"/>
  <c r="E864" i="12"/>
  <c r="E865" i="12"/>
  <c r="E866" i="12"/>
  <c r="E867" i="12"/>
  <c r="E868" i="12"/>
  <c r="E869" i="12"/>
  <c r="E870" i="12"/>
  <c r="E871" i="12"/>
  <c r="E872" i="12"/>
  <c r="E873" i="12"/>
  <c r="E874" i="12"/>
  <c r="E875" i="12"/>
  <c r="E876" i="12"/>
  <c r="E877" i="12"/>
  <c r="E878" i="12"/>
  <c r="E879" i="12"/>
  <c r="E880" i="12"/>
  <c r="E881" i="12"/>
  <c r="E882" i="12"/>
  <c r="E883" i="12"/>
  <c r="E884" i="12"/>
  <c r="E885" i="12"/>
  <c r="E886" i="12"/>
  <c r="E887" i="12"/>
  <c r="E888" i="12"/>
  <c r="E889" i="12"/>
  <c r="E890" i="12"/>
  <c r="E891" i="12"/>
  <c r="E892" i="12"/>
  <c r="E893" i="12"/>
  <c r="E894" i="12"/>
  <c r="E895" i="12"/>
  <c r="E896" i="12"/>
  <c r="E897" i="12"/>
  <c r="E898" i="12"/>
  <c r="E899" i="12"/>
  <c r="E900" i="12"/>
  <c r="E901" i="12"/>
  <c r="E902" i="12"/>
  <c r="E903" i="12"/>
  <c r="E904" i="12"/>
  <c r="E905" i="12"/>
  <c r="E906" i="12"/>
  <c r="E907" i="12"/>
  <c r="E908" i="12"/>
  <c r="E909" i="12"/>
  <c r="E910" i="12"/>
  <c r="E911" i="12"/>
  <c r="E912" i="12"/>
  <c r="E913" i="12"/>
  <c r="E914" i="12"/>
  <c r="E915" i="12"/>
  <c r="E916" i="12"/>
  <c r="E917" i="12"/>
  <c r="E918" i="12"/>
  <c r="E919" i="12"/>
  <c r="E920" i="12"/>
  <c r="E921" i="12"/>
  <c r="E922" i="12"/>
  <c r="E923" i="12"/>
  <c r="E924" i="12"/>
  <c r="E925" i="12"/>
  <c r="E926" i="12"/>
  <c r="E927" i="12"/>
  <c r="E928" i="12"/>
  <c r="E929" i="12"/>
  <c r="E930" i="12"/>
  <c r="E931" i="12"/>
  <c r="E932" i="12"/>
  <c r="E933" i="12"/>
  <c r="E934" i="12"/>
  <c r="E935" i="12"/>
  <c r="E936" i="12"/>
  <c r="E937" i="12"/>
  <c r="E938" i="12"/>
  <c r="E939" i="12"/>
  <c r="E940" i="12"/>
  <c r="E941" i="12"/>
  <c r="E942" i="12"/>
  <c r="E943" i="12"/>
  <c r="E944" i="12"/>
  <c r="E945" i="12"/>
  <c r="E946" i="12"/>
  <c r="E947" i="12"/>
  <c r="E948" i="12"/>
  <c r="E949" i="12"/>
  <c r="E950" i="12"/>
  <c r="E951" i="12"/>
  <c r="E952" i="12"/>
  <c r="E953" i="12"/>
  <c r="E954" i="12"/>
  <c r="E955" i="12"/>
  <c r="E956" i="12"/>
  <c r="E957" i="12"/>
  <c r="E958" i="12"/>
  <c r="E959" i="12"/>
  <c r="E960" i="12"/>
  <c r="E961" i="12"/>
  <c r="E962" i="12"/>
  <c r="E963" i="12"/>
  <c r="E964" i="12"/>
  <c r="E965" i="12"/>
  <c r="E966" i="12"/>
  <c r="E967" i="12"/>
  <c r="E968" i="12"/>
  <c r="E969" i="12"/>
  <c r="E970" i="12"/>
  <c r="E971" i="12"/>
  <c r="E972" i="12"/>
  <c r="E973" i="12"/>
  <c r="E974" i="12"/>
  <c r="E975" i="12"/>
  <c r="E976" i="12"/>
  <c r="E977" i="12"/>
  <c r="E978" i="12"/>
  <c r="E979" i="12"/>
  <c r="E980" i="12"/>
  <c r="E981" i="12"/>
  <c r="E982" i="12"/>
  <c r="E983" i="12"/>
  <c r="E984" i="12"/>
  <c r="E985" i="12"/>
  <c r="E986" i="12"/>
  <c r="E987" i="12"/>
  <c r="E988" i="12"/>
  <c r="E989" i="12"/>
  <c r="E990" i="12"/>
  <c r="E991" i="12"/>
  <c r="E992" i="12"/>
  <c r="E993" i="12"/>
  <c r="E994" i="12"/>
  <c r="E995" i="12"/>
  <c r="E996" i="12"/>
  <c r="E997" i="12"/>
  <c r="E998" i="12"/>
  <c r="E999" i="12"/>
  <c r="E1000" i="12"/>
  <c r="E1001" i="12"/>
  <c r="E1002" i="12"/>
  <c r="E1003" i="12"/>
  <c r="E1004" i="12"/>
  <c r="E1005" i="12"/>
  <c r="E1006" i="12"/>
  <c r="E1007" i="12"/>
  <c r="E1008" i="12"/>
  <c r="E1009" i="12"/>
  <c r="E1010" i="12"/>
  <c r="E1011" i="12"/>
  <c r="E1012" i="12"/>
  <c r="E1013" i="12"/>
  <c r="E1014" i="12"/>
  <c r="E1015" i="12"/>
  <c r="E1016" i="12"/>
  <c r="E1017" i="12"/>
  <c r="E1018" i="12"/>
  <c r="E1019" i="12"/>
  <c r="E1020" i="12"/>
  <c r="E1021" i="12"/>
  <c r="E1022" i="12"/>
  <c r="E1023" i="12"/>
  <c r="E1024" i="12"/>
  <c r="E1025" i="12"/>
  <c r="E1026" i="12"/>
  <c r="E1027" i="12"/>
  <c r="E1028" i="12"/>
  <c r="E1029" i="12"/>
  <c r="E1030" i="12"/>
  <c r="E1031" i="12"/>
  <c r="E1032" i="12"/>
  <c r="E1033" i="12"/>
  <c r="E1034" i="12"/>
  <c r="E1035" i="12"/>
  <c r="E1036" i="12"/>
  <c r="E1037" i="12"/>
  <c r="E1038" i="12"/>
  <c r="E1039" i="12"/>
  <c r="E1040" i="12"/>
  <c r="E1041" i="12"/>
  <c r="E1042" i="12"/>
  <c r="E1043" i="12"/>
  <c r="E1044" i="12"/>
  <c r="E1045" i="12"/>
  <c r="E1046" i="12"/>
  <c r="E1047" i="12"/>
  <c r="E1048" i="12"/>
  <c r="E1049" i="12"/>
  <c r="E1050" i="12"/>
  <c r="E1051" i="12"/>
  <c r="E1052" i="12"/>
  <c r="E1053" i="12"/>
  <c r="E1054" i="12"/>
  <c r="E1055" i="12"/>
  <c r="E1056" i="12"/>
  <c r="E1057" i="12"/>
  <c r="E1058" i="12"/>
  <c r="E1059" i="12"/>
  <c r="E1060" i="12"/>
  <c r="E1061" i="12"/>
  <c r="E1062" i="12"/>
  <c r="E1063" i="12"/>
  <c r="E1064" i="12"/>
  <c r="E1065" i="12"/>
  <c r="E1066" i="12"/>
  <c r="E1067" i="12"/>
  <c r="E1068" i="12"/>
  <c r="E1069" i="12"/>
  <c r="E1070" i="12"/>
  <c r="E1071" i="12"/>
  <c r="E1072" i="12"/>
  <c r="E1073" i="12"/>
  <c r="E1074" i="12"/>
  <c r="E1075" i="12"/>
  <c r="E1076" i="12"/>
  <c r="E1077" i="12"/>
  <c r="E1078" i="12"/>
  <c r="E1079" i="12"/>
  <c r="E1080" i="12"/>
  <c r="E1081" i="12"/>
  <c r="E1082" i="12"/>
  <c r="E1083" i="12"/>
  <c r="E1084" i="12"/>
  <c r="E1085" i="12"/>
  <c r="E1086" i="12"/>
  <c r="E1087" i="12"/>
  <c r="E1088" i="12"/>
  <c r="E1089" i="12"/>
  <c r="E1090" i="12"/>
  <c r="E1091" i="12"/>
  <c r="E1092" i="12"/>
  <c r="E1093" i="12"/>
  <c r="E1094" i="12"/>
  <c r="E1095" i="12"/>
  <c r="E1096" i="12"/>
  <c r="E1097" i="12"/>
  <c r="E1098" i="12"/>
  <c r="E1099" i="12"/>
  <c r="E1100" i="12"/>
  <c r="E1101" i="12"/>
  <c r="E1102" i="12"/>
  <c r="E1103" i="12"/>
  <c r="E1104" i="12"/>
  <c r="E1105" i="12"/>
  <c r="E1106" i="12"/>
  <c r="E1107" i="12"/>
  <c r="E1108" i="12"/>
  <c r="E1109" i="12"/>
  <c r="E1110" i="12"/>
  <c r="E1111" i="12"/>
  <c r="E1112" i="12"/>
  <c r="E1113" i="12"/>
  <c r="E1114" i="12"/>
  <c r="E1115" i="12"/>
  <c r="E1116" i="12"/>
  <c r="E1117" i="12"/>
  <c r="E1118" i="12"/>
  <c r="E1119" i="12"/>
  <c r="E1120" i="12"/>
  <c r="E1121" i="12"/>
  <c r="E1122" i="12"/>
  <c r="E1123" i="12"/>
  <c r="E1124" i="12"/>
  <c r="E1125" i="12"/>
  <c r="E1126" i="12"/>
  <c r="E1127" i="12"/>
  <c r="E1128" i="12"/>
  <c r="E1129" i="12"/>
  <c r="E1130" i="12"/>
  <c r="E1131" i="12"/>
  <c r="E1132" i="12"/>
  <c r="E1133" i="12"/>
  <c r="E1134" i="12"/>
  <c r="E1135" i="12"/>
  <c r="E1136" i="12"/>
  <c r="E1137" i="12"/>
  <c r="E1138" i="12"/>
  <c r="E1139" i="12"/>
  <c r="E1140" i="12"/>
  <c r="E1141" i="12"/>
  <c r="E1142" i="12"/>
  <c r="E1143" i="12"/>
  <c r="E1144" i="12"/>
  <c r="E1145" i="12"/>
  <c r="E1146" i="12"/>
  <c r="E1147" i="12"/>
  <c r="E1148" i="12"/>
  <c r="E1149" i="12"/>
  <c r="E1150" i="12"/>
  <c r="E1151" i="12"/>
  <c r="E1152" i="12"/>
  <c r="E1153" i="12"/>
  <c r="E1154" i="12"/>
  <c r="E1155" i="12"/>
  <c r="E1156" i="12"/>
  <c r="E1157" i="12"/>
  <c r="E1158" i="12"/>
  <c r="E1159" i="12"/>
  <c r="E1160" i="12"/>
  <c r="E1161" i="12"/>
  <c r="E1162" i="12"/>
  <c r="E1163" i="12"/>
  <c r="E1164" i="12"/>
  <c r="E1165" i="12"/>
  <c r="E1166" i="12"/>
  <c r="E1167" i="12"/>
  <c r="E1168" i="12"/>
  <c r="E1169" i="12"/>
  <c r="E1170" i="12"/>
  <c r="E1171" i="12"/>
  <c r="E1172" i="12"/>
  <c r="E1173" i="12"/>
  <c r="E1174" i="12"/>
  <c r="E1175" i="12"/>
  <c r="E1176" i="12"/>
  <c r="E1177" i="12"/>
  <c r="E1178" i="12"/>
  <c r="E1179" i="12"/>
  <c r="E1180" i="12"/>
  <c r="E1181" i="12"/>
  <c r="E1182" i="12"/>
  <c r="E1183" i="12"/>
  <c r="E1184" i="12"/>
  <c r="E1185" i="12"/>
  <c r="E1186" i="12"/>
  <c r="E1187" i="12"/>
  <c r="E1188" i="12"/>
  <c r="E1189" i="12"/>
  <c r="E1190" i="12"/>
  <c r="E1191" i="12"/>
  <c r="E1192" i="12"/>
  <c r="E1193" i="12"/>
  <c r="E1194" i="12"/>
  <c r="E1195" i="12"/>
  <c r="E1196" i="12"/>
  <c r="E1197" i="12"/>
  <c r="E1198" i="12"/>
  <c r="E1199" i="12"/>
  <c r="E1200" i="12"/>
  <c r="E1201" i="12"/>
  <c r="E1202" i="12"/>
  <c r="E1203" i="12"/>
  <c r="E1204" i="12"/>
  <c r="E1205" i="12"/>
  <c r="E1206" i="12"/>
  <c r="E1207" i="12"/>
  <c r="E1208" i="12"/>
  <c r="E1209" i="12"/>
  <c r="E1210" i="12"/>
  <c r="E1211" i="12"/>
  <c r="E1212" i="12"/>
  <c r="E1213" i="12"/>
  <c r="E1214" i="12"/>
  <c r="E1215" i="12"/>
  <c r="E1216" i="12"/>
  <c r="E1217" i="12"/>
  <c r="E1218" i="12"/>
  <c r="E1219" i="12"/>
  <c r="E1220" i="12"/>
  <c r="E1221" i="12"/>
  <c r="E1222" i="12"/>
  <c r="E1223" i="12"/>
  <c r="E1224" i="12"/>
  <c r="E1225" i="12"/>
  <c r="E1226" i="12"/>
  <c r="E1227" i="12"/>
  <c r="E1228" i="12"/>
  <c r="E1229" i="12"/>
  <c r="E1230" i="12"/>
  <c r="E1231" i="12"/>
  <c r="E1232" i="12"/>
  <c r="E1233" i="12"/>
  <c r="E1234" i="12"/>
  <c r="E1235" i="12"/>
  <c r="E1236" i="12"/>
  <c r="E1237" i="12"/>
  <c r="E1238" i="12"/>
  <c r="E1239" i="12"/>
  <c r="E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6" i="12"/>
  <c r="M16" i="10"/>
  <c r="D31" i="8"/>
  <c r="N16" i="10" s="1"/>
  <c r="D32" i="8"/>
  <c r="N17" i="10" s="1"/>
  <c r="C32" i="8"/>
  <c r="M17" i="10" s="1"/>
  <c r="C31" i="8"/>
  <c r="H41" i="10"/>
  <c r="H40" i="10"/>
  <c r="H31" i="10"/>
  <c r="H30" i="10"/>
  <c r="H29" i="10"/>
  <c r="M8" i="10" a="1"/>
  <c r="M8" i="10" s="1"/>
  <c r="I9" i="10"/>
  <c r="I10" i="10"/>
  <c r="I11" i="10"/>
  <c r="I12" i="10"/>
  <c r="I13" i="10"/>
  <c r="D8" i="10" a="1"/>
  <c r="D8" i="10" s="1"/>
  <c r="P3" i="8"/>
  <c r="P4" i="8"/>
  <c r="P5" i="8"/>
  <c r="P6" i="8"/>
  <c r="P7" i="8"/>
  <c r="P8" i="8"/>
  <c r="P9" i="8"/>
  <c r="P2" i="8"/>
  <c r="L8" i="10" s="1" a="1"/>
  <c r="E7" i="9"/>
  <c r="D24" i="7" a="1"/>
  <c r="D24" i="7" s="1"/>
  <c r="Q8" i="7" a="1"/>
  <c r="Q8" i="7" s="1"/>
  <c r="P8" i="7" a="1"/>
  <c r="P8" i="7" s="1"/>
  <c r="O8" i="7" a="1"/>
  <c r="O8" i="7" s="1"/>
  <c r="L8" i="7" a="1"/>
  <c r="L8" i="7" s="1"/>
  <c r="K8" i="7" a="1"/>
  <c r="K8" i="7" s="1"/>
  <c r="I8" i="10" s="1"/>
  <c r="I8" i="7" a="1"/>
  <c r="I8" i="7" s="1"/>
  <c r="H8" i="7" a="1"/>
  <c r="H8" i="7" s="1"/>
  <c r="D8" i="7" a="1"/>
  <c r="D8" i="7" s="1"/>
  <c r="H100" i="2"/>
  <c r="M95" i="2"/>
  <c r="N95" i="2"/>
  <c r="O95" i="2"/>
  <c r="P95" i="2"/>
  <c r="Q95" i="2"/>
  <c r="M94" i="2" a="1"/>
  <c r="M94" i="2" s="1"/>
  <c r="J4" i="6"/>
  <c r="K4" i="6" s="1"/>
  <c r="L4" i="6" s="1"/>
  <c r="I4" i="6"/>
  <c r="E5" i="6"/>
  <c r="K141" i="2" l="1"/>
  <c r="M141" i="2"/>
  <c r="N141" i="2" s="1"/>
  <c r="J141" i="2"/>
  <c r="J165" i="2"/>
  <c r="M159" i="2" s="1"/>
  <c r="I141" i="2"/>
  <c r="L141" i="2"/>
  <c r="I8" i="12"/>
  <c r="L8" i="10"/>
  <c r="L17" i="10" s="1"/>
  <c r="L16" i="10"/>
  <c r="I16" i="10"/>
  <c r="I14" i="10"/>
  <c r="I17" i="10" s="1"/>
  <c r="D21" i="7"/>
  <c r="O21" i="7" a="1"/>
  <c r="O21" i="7" s="1"/>
  <c r="J15" i="7"/>
  <c r="J14" i="7"/>
  <c r="U14" i="7" s="1"/>
  <c r="U15" i="7"/>
  <c r="J13" i="7"/>
  <c r="U13" i="7" s="1"/>
  <c r="J12" i="7"/>
  <c r="U12" i="7" s="1"/>
  <c r="J11" i="7"/>
  <c r="U11" i="7" s="1"/>
  <c r="J10" i="7"/>
  <c r="M10" i="7" s="1"/>
  <c r="T10" i="7" s="1"/>
  <c r="J8" i="7"/>
  <c r="J9" i="7"/>
  <c r="I106" i="2"/>
  <c r="J106" i="2"/>
  <c r="K106" i="2"/>
  <c r="L106" i="2"/>
  <c r="I107" i="2"/>
  <c r="J107" i="2"/>
  <c r="K107" i="2"/>
  <c r="L107" i="2"/>
  <c r="I108" i="2"/>
  <c r="J108" i="2"/>
  <c r="K108" i="2"/>
  <c r="L108" i="2"/>
  <c r="I109" i="2"/>
  <c r="J109" i="2"/>
  <c r="K109" i="2"/>
  <c r="L109" i="2"/>
  <c r="H109" i="2"/>
  <c r="H108" i="2"/>
  <c r="H107" i="2"/>
  <c r="H106" i="2"/>
  <c r="I94" i="2"/>
  <c r="J94" i="2"/>
  <c r="K94" i="2"/>
  <c r="L94" i="2"/>
  <c r="I95" i="2"/>
  <c r="J95" i="2"/>
  <c r="K95" i="2"/>
  <c r="L95" i="2"/>
  <c r="I96" i="2"/>
  <c r="J96" i="2"/>
  <c r="K96" i="2"/>
  <c r="L96" i="2"/>
  <c r="I97" i="2"/>
  <c r="J97" i="2"/>
  <c r="K97" i="2"/>
  <c r="L97" i="2"/>
  <c r="H94" i="2"/>
  <c r="H97" i="2"/>
  <c r="H96" i="2"/>
  <c r="H95" i="2"/>
  <c r="I86" i="2"/>
  <c r="J86" i="2"/>
  <c r="K86" i="2"/>
  <c r="L86" i="2"/>
  <c r="I87" i="2"/>
  <c r="J87" i="2"/>
  <c r="K87" i="2"/>
  <c r="L87" i="2"/>
  <c r="I88" i="2"/>
  <c r="J88" i="2"/>
  <c r="K88" i="2"/>
  <c r="L88" i="2"/>
  <c r="I89" i="2"/>
  <c r="J89" i="2"/>
  <c r="K89" i="2"/>
  <c r="L89" i="2"/>
  <c r="I90" i="2"/>
  <c r="J90" i="2"/>
  <c r="K90" i="2"/>
  <c r="L90" i="2"/>
  <c r="H90" i="2"/>
  <c r="H89" i="2"/>
  <c r="H88" i="2"/>
  <c r="H87" i="2"/>
  <c r="H86" i="2"/>
  <c r="I82" i="2"/>
  <c r="J82" i="2"/>
  <c r="K82" i="2"/>
  <c r="L82" i="2"/>
  <c r="H82" i="2"/>
  <c r="H80" i="2" a="1"/>
  <c r="H80" i="2" s="1"/>
  <c r="I79" i="2"/>
  <c r="J79" i="2"/>
  <c r="K79" i="2"/>
  <c r="L79" i="2"/>
  <c r="H79" i="2"/>
  <c r="I78" i="2"/>
  <c r="J78" i="2"/>
  <c r="K78" i="2"/>
  <c r="L78" i="2"/>
  <c r="H78" i="2"/>
  <c r="H77" i="2" a="1"/>
  <c r="H77" i="2" s="1"/>
  <c r="H115" i="2" s="1"/>
  <c r="K53" i="2"/>
  <c r="I63" i="2"/>
  <c r="J63" i="2"/>
  <c r="K63" i="2"/>
  <c r="L63" i="2"/>
  <c r="M63" i="2" s="1"/>
  <c r="N63" i="2" s="1"/>
  <c r="O63" i="2" s="1"/>
  <c r="P63" i="2" s="1"/>
  <c r="Q63" i="2" s="1"/>
  <c r="H63" i="2"/>
  <c r="H69" i="2" a="1"/>
  <c r="E162" i="2" s="1"/>
  <c r="J161" i="2" s="1"/>
  <c r="H67" i="2" a="1"/>
  <c r="H67" i="2" s="1"/>
  <c r="H66" i="2" a="1"/>
  <c r="I62" i="2"/>
  <c r="I121" i="2" s="1"/>
  <c r="J62" i="2"/>
  <c r="J121" i="2" s="1"/>
  <c r="K62" i="2"/>
  <c r="K121" i="2" s="1"/>
  <c r="L62" i="2"/>
  <c r="H62" i="2"/>
  <c r="H121" i="2" s="1"/>
  <c r="I119" i="2" s="1"/>
  <c r="I60" i="2"/>
  <c r="J60" i="2"/>
  <c r="K60" i="2"/>
  <c r="L60" i="2"/>
  <c r="M60" i="2" s="1"/>
  <c r="N60" i="2" s="1"/>
  <c r="O60" i="2" s="1"/>
  <c r="P60" i="2" s="1"/>
  <c r="Q60" i="2" s="1"/>
  <c r="H60" i="2"/>
  <c r="I59" i="2"/>
  <c r="J59" i="2"/>
  <c r="K59" i="2"/>
  <c r="L59" i="2"/>
  <c r="H59" i="2"/>
  <c r="I54" i="2"/>
  <c r="J54" i="2"/>
  <c r="K54" i="2"/>
  <c r="L54" i="2"/>
  <c r="M54" i="2" s="1"/>
  <c r="N54" i="2" s="1"/>
  <c r="O54" i="2" s="1"/>
  <c r="P54" i="2" s="1"/>
  <c r="Q54" i="2" s="1"/>
  <c r="H54" i="2"/>
  <c r="I51" i="2"/>
  <c r="J51" i="2"/>
  <c r="J116" i="2" s="1"/>
  <c r="K51" i="2"/>
  <c r="K116" i="2" s="1"/>
  <c r="L51" i="2"/>
  <c r="L116" i="2" s="1"/>
  <c r="M113" i="2" s="1"/>
  <c r="H51" i="2"/>
  <c r="H116" i="2" s="1"/>
  <c r="I113" i="2" s="1"/>
  <c r="L53" i="2"/>
  <c r="I53" i="2"/>
  <c r="J53" i="2"/>
  <c r="H53" i="2"/>
  <c r="H52" i="2" a="1"/>
  <c r="H48" i="2" a="1"/>
  <c r="H47" i="2" a="1"/>
  <c r="H47" i="2" s="1"/>
  <c r="H46" i="2" a="1"/>
  <c r="H46" i="2" s="1"/>
  <c r="H45" i="2" a="1"/>
  <c r="H44" i="2" a="1"/>
  <c r="H36" i="2" a="1"/>
  <c r="H36" i="2" s="1"/>
  <c r="I34" i="2"/>
  <c r="J34" i="2"/>
  <c r="K34" i="2"/>
  <c r="L34" i="2"/>
  <c r="H34" i="2"/>
  <c r="H33" i="2" a="1"/>
  <c r="H33" i="2" s="1"/>
  <c r="H122" i="2" s="1"/>
  <c r="H31" i="2" a="1"/>
  <c r="H31" i="2" s="1"/>
  <c r="D31" i="2"/>
  <c r="H28" i="2" a="1"/>
  <c r="H28" i="2" s="1"/>
  <c r="H29" i="2" a="1"/>
  <c r="H29" i="2" s="1"/>
  <c r="H24" i="2" a="1"/>
  <c r="H25" i="2"/>
  <c r="I25" i="2"/>
  <c r="J25" i="2"/>
  <c r="K25" i="2"/>
  <c r="L25" i="2"/>
  <c r="A1" i="2"/>
  <c r="I2" i="2"/>
  <c r="J2" i="2" s="1"/>
  <c r="K2" i="2" s="1"/>
  <c r="L2" i="2" s="1"/>
  <c r="M2" i="2" s="1"/>
  <c r="N2" i="2" s="1"/>
  <c r="O2" i="2" s="1"/>
  <c r="P2" i="2" s="1"/>
  <c r="Q2" i="2" s="1"/>
  <c r="H171" i="4"/>
  <c r="I171" i="4"/>
  <c r="J171" i="4"/>
  <c r="K171" i="4"/>
  <c r="L171" i="4"/>
  <c r="M171" i="4"/>
  <c r="N171" i="4"/>
  <c r="O171" i="4"/>
  <c r="P171" i="4"/>
  <c r="Q171" i="4"/>
  <c r="H172" i="4"/>
  <c r="I172" i="4"/>
  <c r="J172" i="4"/>
  <c r="K172" i="4"/>
  <c r="L172" i="4"/>
  <c r="M172" i="4"/>
  <c r="N172" i="4"/>
  <c r="O172" i="4"/>
  <c r="P172" i="4"/>
  <c r="Q172" i="4"/>
  <c r="H173" i="4"/>
  <c r="I173" i="4"/>
  <c r="J173" i="4"/>
  <c r="K173" i="4"/>
  <c r="L173" i="4"/>
  <c r="M173" i="4"/>
  <c r="N173" i="4"/>
  <c r="O173" i="4"/>
  <c r="P173" i="4"/>
  <c r="Q173" i="4"/>
  <c r="H174" i="4"/>
  <c r="I174" i="4"/>
  <c r="J174" i="4"/>
  <c r="K174" i="4"/>
  <c r="L174" i="4"/>
  <c r="M174" i="4"/>
  <c r="N174" i="4"/>
  <c r="O174" i="4"/>
  <c r="P174" i="4"/>
  <c r="Q174" i="4"/>
  <c r="H175" i="4"/>
  <c r="I175" i="4"/>
  <c r="J175" i="4"/>
  <c r="K175" i="4"/>
  <c r="L175" i="4"/>
  <c r="M175" i="4"/>
  <c r="N175" i="4"/>
  <c r="O175" i="4"/>
  <c r="P175" i="4"/>
  <c r="Q175" i="4"/>
  <c r="H176" i="4"/>
  <c r="I176" i="4"/>
  <c r="J176" i="4"/>
  <c r="K176" i="4"/>
  <c r="L176" i="4"/>
  <c r="M176" i="4"/>
  <c r="N176" i="4"/>
  <c r="O176" i="4"/>
  <c r="P176" i="4"/>
  <c r="Q176" i="4"/>
  <c r="H177" i="4"/>
  <c r="I177" i="4"/>
  <c r="J177" i="4"/>
  <c r="K177" i="4"/>
  <c r="L177" i="4"/>
  <c r="M177" i="4"/>
  <c r="N177" i="4"/>
  <c r="O177" i="4"/>
  <c r="P177" i="4"/>
  <c r="Q177" i="4"/>
  <c r="H178" i="4"/>
  <c r="I178" i="4"/>
  <c r="J178" i="4"/>
  <c r="K178" i="4"/>
  <c r="L178" i="4"/>
  <c r="M178" i="4"/>
  <c r="N178" i="4"/>
  <c r="O178" i="4"/>
  <c r="P178" i="4"/>
  <c r="Q178" i="4"/>
  <c r="H179" i="4"/>
  <c r="I179" i="4"/>
  <c r="J179" i="4"/>
  <c r="K179" i="4"/>
  <c r="L179" i="4"/>
  <c r="M179" i="4"/>
  <c r="N179" i="4"/>
  <c r="O179" i="4"/>
  <c r="P179" i="4"/>
  <c r="Q179" i="4"/>
  <c r="H180" i="4"/>
  <c r="I180" i="4"/>
  <c r="J180" i="4"/>
  <c r="K180" i="4"/>
  <c r="L180" i="4"/>
  <c r="M180" i="4"/>
  <c r="N180" i="4"/>
  <c r="O180" i="4"/>
  <c r="P180" i="4"/>
  <c r="Q180" i="4"/>
  <c r="M143" i="2" l="1"/>
  <c r="K143" i="2"/>
  <c r="I143" i="2"/>
  <c r="J143" i="2"/>
  <c r="H44" i="2"/>
  <c r="I100" i="2" s="1"/>
  <c r="K100" i="2"/>
  <c r="M100" i="2"/>
  <c r="L100" i="2"/>
  <c r="E160" i="2"/>
  <c r="J162" i="2" s="1"/>
  <c r="J100" i="2"/>
  <c r="M53" i="2"/>
  <c r="L121" i="2"/>
  <c r="E161" i="2" s="1"/>
  <c r="J160" i="2" s="1"/>
  <c r="L143" i="2"/>
  <c r="U8" i="7"/>
  <c r="H8" i="10" a="1"/>
  <c r="M14" i="7"/>
  <c r="T14" i="7" s="1"/>
  <c r="M15" i="7"/>
  <c r="H21" i="7" s="1" a="1"/>
  <c r="M13" i="7"/>
  <c r="T13" i="7" s="1"/>
  <c r="M11" i="7"/>
  <c r="S11" i="7" s="1"/>
  <c r="M12" i="7"/>
  <c r="M8" i="7"/>
  <c r="T8" i="7" s="1"/>
  <c r="S10" i="7"/>
  <c r="S14" i="7"/>
  <c r="T15" i="7"/>
  <c r="S15" i="7"/>
  <c r="S21" i="7" s="1" a="1"/>
  <c r="S21" i="7" s="1"/>
  <c r="U10" i="7"/>
  <c r="U9" i="7"/>
  <c r="U19" i="7" s="1"/>
  <c r="M9" i="7"/>
  <c r="H45" i="2"/>
  <c r="M45" i="2"/>
  <c r="N45" i="2" s="1"/>
  <c r="O45" i="2" s="1"/>
  <c r="P45" i="2" s="1"/>
  <c r="Q45" i="2" s="1"/>
  <c r="H48" i="2"/>
  <c r="M48" i="2"/>
  <c r="H24" i="2"/>
  <c r="I7" i="2" s="1"/>
  <c r="I19" i="2"/>
  <c r="H66" i="2"/>
  <c r="H68" i="2" s="1"/>
  <c r="M66" i="2"/>
  <c r="N66" i="2" s="1"/>
  <c r="O66" i="2" s="1"/>
  <c r="P66" i="2" s="1"/>
  <c r="Q66" i="2" s="1"/>
  <c r="H52" i="2"/>
  <c r="M52" i="2"/>
  <c r="N52" i="2" s="1"/>
  <c r="O52" i="2" s="1"/>
  <c r="P52" i="2" s="1"/>
  <c r="Q52" i="2" s="1"/>
  <c r="H69" i="2"/>
  <c r="M69" i="2"/>
  <c r="N69" i="2" s="1"/>
  <c r="O69" i="2" s="1"/>
  <c r="P69" i="2" s="1"/>
  <c r="Q69" i="2" s="1"/>
  <c r="J182" i="4"/>
  <c r="N182" i="4"/>
  <c r="J8" i="2"/>
  <c r="K182" i="4"/>
  <c r="H17" i="2"/>
  <c r="K13" i="2"/>
  <c r="M182" i="4"/>
  <c r="J13" i="2"/>
  <c r="L18" i="2"/>
  <c r="L17" i="2"/>
  <c r="I13" i="2"/>
  <c r="L182" i="4"/>
  <c r="I8" i="2"/>
  <c r="K7" i="2"/>
  <c r="J17" i="2"/>
  <c r="J7" i="2"/>
  <c r="I17" i="2"/>
  <c r="J10" i="2"/>
  <c r="I182" i="4"/>
  <c r="J12" i="2"/>
  <c r="L9" i="2"/>
  <c r="L13" i="2"/>
  <c r="P182" i="4"/>
  <c r="H182" i="4"/>
  <c r="K18" i="2"/>
  <c r="I12" i="2"/>
  <c r="L19" i="2"/>
  <c r="J18" i="2"/>
  <c r="K19" i="2"/>
  <c r="L16" i="2"/>
  <c r="Q182" i="4"/>
  <c r="K8" i="2"/>
  <c r="I18" i="2"/>
  <c r="J19" i="2"/>
  <c r="H64" i="2"/>
  <c r="L7" i="2"/>
  <c r="I10" i="2"/>
  <c r="L11" i="2"/>
  <c r="K11" i="2"/>
  <c r="K9" i="2"/>
  <c r="K16" i="2"/>
  <c r="H18" i="2"/>
  <c r="J11" i="2"/>
  <c r="J9" i="2"/>
  <c r="J16" i="2"/>
  <c r="I11" i="2"/>
  <c r="I9" i="2"/>
  <c r="I16" i="2"/>
  <c r="L12" i="2"/>
  <c r="L8" i="2"/>
  <c r="L10" i="2"/>
  <c r="K12" i="2"/>
  <c r="K10" i="2"/>
  <c r="K17" i="2"/>
  <c r="I68" i="2"/>
  <c r="J64" i="2"/>
  <c r="H110" i="2"/>
  <c r="L64" i="2"/>
  <c r="I55" i="2"/>
  <c r="K64" i="2"/>
  <c r="J91" i="2"/>
  <c r="K91" i="2"/>
  <c r="L68" i="2"/>
  <c r="I64" i="2"/>
  <c r="K68" i="2"/>
  <c r="K115" i="2"/>
  <c r="J98" i="2"/>
  <c r="L115" i="2"/>
  <c r="L91" i="2"/>
  <c r="H98" i="2"/>
  <c r="K113" i="2"/>
  <c r="L113" i="2"/>
  <c r="I120" i="2"/>
  <c r="J119" i="2"/>
  <c r="J120" i="2" s="1"/>
  <c r="I122" i="2"/>
  <c r="L119" i="2"/>
  <c r="H91" i="2"/>
  <c r="L26" i="2"/>
  <c r="L30" i="2" s="1"/>
  <c r="L32" i="2" s="1"/>
  <c r="L35" i="2" s="1"/>
  <c r="L14" i="2" s="1"/>
  <c r="J68" i="2"/>
  <c r="I116" i="2"/>
  <c r="K119" i="2"/>
  <c r="K120" i="2" s="1"/>
  <c r="L110" i="2"/>
  <c r="K98" i="2"/>
  <c r="I26" i="2"/>
  <c r="I30" i="2" s="1"/>
  <c r="I32" i="2" s="1"/>
  <c r="I35" i="2" s="1"/>
  <c r="I14" i="2" s="1"/>
  <c r="K110" i="2"/>
  <c r="L122" i="2"/>
  <c r="J26" i="2"/>
  <c r="J30" i="2" s="1"/>
  <c r="J32" i="2" s="1"/>
  <c r="J35" i="2" s="1"/>
  <c r="J14" i="2" s="1"/>
  <c r="L55" i="2"/>
  <c r="J110" i="2"/>
  <c r="I115" i="2"/>
  <c r="K122" i="2"/>
  <c r="K26" i="2"/>
  <c r="K30" i="2" s="1"/>
  <c r="K32" i="2" s="1"/>
  <c r="K35" i="2" s="1"/>
  <c r="K14" i="2" s="1"/>
  <c r="K55" i="2"/>
  <c r="J55" i="2"/>
  <c r="L98" i="2"/>
  <c r="I110" i="2"/>
  <c r="J115" i="2"/>
  <c r="J122" i="2"/>
  <c r="I91" i="2"/>
  <c r="I98" i="2"/>
  <c r="O182" i="4"/>
  <c r="L120" i="2" l="1"/>
  <c r="H55" i="2"/>
  <c r="H13" i="2"/>
  <c r="J163" i="2"/>
  <c r="M119" i="2"/>
  <c r="M121" i="2" s="1"/>
  <c r="N53" i="2"/>
  <c r="N88" i="2" s="1"/>
  <c r="M88" i="2"/>
  <c r="H8" i="10"/>
  <c r="H17" i="10"/>
  <c r="H16" i="10"/>
  <c r="K10" i="10"/>
  <c r="K12" i="10"/>
  <c r="J12" i="10"/>
  <c r="N12" i="10" s="1"/>
  <c r="J13" i="10"/>
  <c r="N13" i="10" s="1"/>
  <c r="J10" i="10"/>
  <c r="N10" i="10" s="1"/>
  <c r="K13" i="10"/>
  <c r="K14" i="10"/>
  <c r="J14" i="10"/>
  <c r="N14" i="10" s="1"/>
  <c r="K9" i="10"/>
  <c r="K11" i="10"/>
  <c r="J11" i="10"/>
  <c r="N11" i="10" s="1"/>
  <c r="J9" i="10"/>
  <c r="N9" i="10" s="1"/>
  <c r="S13" i="7"/>
  <c r="U18" i="7"/>
  <c r="H21" i="7"/>
  <c r="I24" i="7"/>
  <c r="I25" i="7" s="1"/>
  <c r="I26" i="7" s="1"/>
  <c r="K24" i="7"/>
  <c r="K25" i="7" s="1"/>
  <c r="K26" i="7" s="1"/>
  <c r="T11" i="7"/>
  <c r="S12" i="7"/>
  <c r="T12" i="7"/>
  <c r="S8" i="7"/>
  <c r="T9" i="7"/>
  <c r="S9" i="7"/>
  <c r="N48" i="2"/>
  <c r="N109" i="2" s="1"/>
  <c r="M109" i="2"/>
  <c r="E6" i="6"/>
  <c r="H5" i="6" s="1" a="1"/>
  <c r="I6" i="6" s="1"/>
  <c r="J6" i="6" s="1"/>
  <c r="K6" i="6" s="1"/>
  <c r="L6" i="6" s="1"/>
  <c r="H10" i="2"/>
  <c r="H9" i="2"/>
  <c r="H8" i="2"/>
  <c r="H19" i="2"/>
  <c r="H16" i="2"/>
  <c r="H26" i="2"/>
  <c r="H30" i="2" s="1"/>
  <c r="H32" i="2" s="1"/>
  <c r="H35" i="2" s="1"/>
  <c r="H37" i="2" s="1"/>
  <c r="H15" i="2" s="1"/>
  <c r="L114" i="2"/>
  <c r="P19" i="2"/>
  <c r="O19" i="2"/>
  <c r="N17" i="2"/>
  <c r="P13" i="2"/>
  <c r="H70" i="2"/>
  <c r="O13" i="2"/>
  <c r="P18" i="2"/>
  <c r="M18" i="2"/>
  <c r="M17" i="2"/>
  <c r="O17" i="2"/>
  <c r="O8" i="2"/>
  <c r="K70" i="2"/>
  <c r="K72" i="2" s="1"/>
  <c r="M19" i="2"/>
  <c r="M12" i="2"/>
  <c r="Q17" i="2"/>
  <c r="Q18" i="2"/>
  <c r="N19" i="2"/>
  <c r="J70" i="2"/>
  <c r="J72" i="2" s="1"/>
  <c r="Q8" i="2"/>
  <c r="K114" i="2"/>
  <c r="Q13" i="2"/>
  <c r="P17" i="2"/>
  <c r="P8" i="2"/>
  <c r="O18" i="2"/>
  <c r="M8" i="2"/>
  <c r="N18" i="2"/>
  <c r="N8" i="2"/>
  <c r="Q19" i="2"/>
  <c r="M13" i="2"/>
  <c r="N13" i="2"/>
  <c r="N12" i="2"/>
  <c r="Q16" i="2"/>
  <c r="P16" i="2"/>
  <c r="M16" i="2"/>
  <c r="N16" i="2"/>
  <c r="O16" i="2"/>
  <c r="Q12" i="2"/>
  <c r="O10" i="2"/>
  <c r="P10" i="2"/>
  <c r="N10" i="2"/>
  <c r="Q10" i="2"/>
  <c r="M10" i="2"/>
  <c r="M9" i="2"/>
  <c r="N9" i="2"/>
  <c r="Q9" i="2"/>
  <c r="O9" i="2"/>
  <c r="P9" i="2"/>
  <c r="P12" i="2"/>
  <c r="N11" i="2"/>
  <c r="M11" i="2"/>
  <c r="M115" i="2" s="1"/>
  <c r="I149" i="2" s="1"/>
  <c r="O11" i="2"/>
  <c r="P11" i="2"/>
  <c r="Q11" i="2"/>
  <c r="O12" i="2"/>
  <c r="M14" i="2"/>
  <c r="H35" i="10" s="1"/>
  <c r="O14" i="2"/>
  <c r="P14" i="2"/>
  <c r="N14" i="2"/>
  <c r="Q14" i="2"/>
  <c r="I70" i="2"/>
  <c r="I72" i="2" s="1"/>
  <c r="L70" i="2"/>
  <c r="L72" i="2" s="1"/>
  <c r="I114" i="2"/>
  <c r="J113" i="2"/>
  <c r="J114" i="2" s="1"/>
  <c r="J37" i="2"/>
  <c r="J15" i="2" s="1"/>
  <c r="J76" i="2"/>
  <c r="J81" i="2" s="1"/>
  <c r="J83" i="2" s="1"/>
  <c r="J99" i="2" s="1"/>
  <c r="J101" i="2" s="1"/>
  <c r="K37" i="2"/>
  <c r="K15" i="2" s="1"/>
  <c r="K76" i="2"/>
  <c r="K81" i="2" s="1"/>
  <c r="K83" i="2" s="1"/>
  <c r="K99" i="2" s="1"/>
  <c r="K101" i="2" s="1"/>
  <c r="I37" i="2"/>
  <c r="I15" i="2" s="1"/>
  <c r="I76" i="2"/>
  <c r="I81" i="2" s="1"/>
  <c r="I83" i="2" s="1"/>
  <c r="I99" i="2" s="1"/>
  <c r="I101" i="2" s="1"/>
  <c r="L37" i="2"/>
  <c r="L15" i="2" s="1"/>
  <c r="L76" i="2"/>
  <c r="L81" i="2" s="1"/>
  <c r="I4" i="4"/>
  <c r="J4" i="4" s="1"/>
  <c r="K4" i="4" s="1"/>
  <c r="L4" i="4" s="1"/>
  <c r="I43" i="4"/>
  <c r="J43" i="4" s="1"/>
  <c r="K43" i="4" s="1"/>
  <c r="L43" i="4" s="1"/>
  <c r="I107" i="4"/>
  <c r="J107" i="4" s="1"/>
  <c r="K107" i="4" s="1"/>
  <c r="L107" i="4" s="1"/>
  <c r="H72" i="2" l="1"/>
  <c r="O53" i="2"/>
  <c r="O88" i="2"/>
  <c r="M62" i="2"/>
  <c r="N119" i="2"/>
  <c r="N121" i="2" s="1"/>
  <c r="N122" i="2"/>
  <c r="N33" i="2" s="1"/>
  <c r="N78" i="2" s="1"/>
  <c r="M122" i="2"/>
  <c r="H34" i="10"/>
  <c r="H36" i="10" s="1"/>
  <c r="E130" i="2"/>
  <c r="H42" i="10"/>
  <c r="H43" i="10" s="1"/>
  <c r="K8" i="10"/>
  <c r="J8" i="10"/>
  <c r="T18" i="7"/>
  <c r="T19" i="7"/>
  <c r="S18" i="7"/>
  <c r="S19" i="7"/>
  <c r="E24" i="7" s="1" a="1"/>
  <c r="I7" i="6"/>
  <c r="J7" i="6" s="1"/>
  <c r="K7" i="6" s="1"/>
  <c r="L7" i="6" s="1"/>
  <c r="H5" i="6"/>
  <c r="I5" i="6" s="1"/>
  <c r="J5" i="6" s="1"/>
  <c r="K5" i="6" s="1"/>
  <c r="L5" i="6" s="1"/>
  <c r="O48" i="2"/>
  <c r="O109" i="2" s="1"/>
  <c r="L83" i="2"/>
  <c r="H76" i="2"/>
  <c r="H81" i="2" s="1"/>
  <c r="H83" i="2" s="1"/>
  <c r="H99" i="2" s="1"/>
  <c r="H101" i="2" s="1"/>
  <c r="H14" i="2"/>
  <c r="M77" i="2"/>
  <c r="M31" i="2"/>
  <c r="N15" i="2"/>
  <c r="O15" i="2"/>
  <c r="P15" i="2"/>
  <c r="Q15" i="2"/>
  <c r="M15" i="2"/>
  <c r="M33" i="2" l="1"/>
  <c r="M78" i="2" s="1"/>
  <c r="L99" i="2"/>
  <c r="L101" i="2" s="1"/>
  <c r="O119" i="2"/>
  <c r="O121" i="2" s="1"/>
  <c r="N62" i="2"/>
  <c r="P53" i="2"/>
  <c r="P88" i="2" s="1"/>
  <c r="J17" i="10"/>
  <c r="H45" i="10" s="1"/>
  <c r="E133" i="2" s="1"/>
  <c r="N8" i="10"/>
  <c r="J16" i="10"/>
  <c r="K17" i="10"/>
  <c r="K16" i="10"/>
  <c r="H25" i="10" s="1"/>
  <c r="H26" i="10" s="1"/>
  <c r="E24" i="7"/>
  <c r="J26" i="7"/>
  <c r="P48" i="2"/>
  <c r="P109" i="2"/>
  <c r="M7" i="2" a="1"/>
  <c r="M7" i="2" s="1"/>
  <c r="M24" i="2" s="1"/>
  <c r="P119" i="2" l="1"/>
  <c r="P121" i="2" s="1"/>
  <c r="O62" i="2"/>
  <c r="O122" i="2"/>
  <c r="Q53" i="2"/>
  <c r="Q88" i="2" s="1"/>
  <c r="L26" i="7"/>
  <c r="H26" i="7"/>
  <c r="H24" i="7"/>
  <c r="J24" i="7" s="1"/>
  <c r="L24" i="7" s="1"/>
  <c r="H25" i="7"/>
  <c r="J25" i="7" s="1"/>
  <c r="L25" i="7" s="1"/>
  <c r="M114" i="2"/>
  <c r="I150" i="2" s="1"/>
  <c r="M28" i="2"/>
  <c r="M34" i="2"/>
  <c r="M29" i="2"/>
  <c r="N24" i="2"/>
  <c r="M46" i="2"/>
  <c r="M106" i="2" s="1"/>
  <c r="M25" i="2"/>
  <c r="Q48" i="2"/>
  <c r="Q109" i="2" s="1"/>
  <c r="O33" i="2" l="1"/>
  <c r="O78" i="2" s="1"/>
  <c r="P62" i="2"/>
  <c r="P122" i="2"/>
  <c r="P33" i="2" s="1"/>
  <c r="P78" i="2" s="1"/>
  <c r="Q119" i="2"/>
  <c r="Q121" i="2" s="1"/>
  <c r="M79" i="2"/>
  <c r="M116" i="2"/>
  <c r="N113" i="2" s="1"/>
  <c r="N115" i="2" s="1"/>
  <c r="J149" i="2" s="1"/>
  <c r="M47" i="2"/>
  <c r="M107" i="2" s="1"/>
  <c r="M26" i="2"/>
  <c r="M30" i="2" s="1"/>
  <c r="M32" i="2" s="1"/>
  <c r="M59" i="2"/>
  <c r="N46" i="2"/>
  <c r="N106" i="2" s="1"/>
  <c r="N34" i="2"/>
  <c r="N79" i="2" s="1"/>
  <c r="N28" i="2"/>
  <c r="N114" i="2"/>
  <c r="J150" i="2" s="1"/>
  <c r="N29" i="2"/>
  <c r="O24" i="2"/>
  <c r="N25" i="2"/>
  <c r="Q122" i="2" l="1"/>
  <c r="Q33" i="2" s="1"/>
  <c r="Q78" i="2" s="1"/>
  <c r="Q62" i="2"/>
  <c r="M97" i="2" a="1"/>
  <c r="M97" i="2" s="1"/>
  <c r="N116" i="2"/>
  <c r="O113" i="2" s="1"/>
  <c r="O115" i="2" s="1"/>
  <c r="K149" i="2" s="1"/>
  <c r="N31" i="2"/>
  <c r="N77" i="2"/>
  <c r="M35" i="2"/>
  <c r="M36" i="2" s="1"/>
  <c r="M37" i="2" s="1"/>
  <c r="I146" i="2"/>
  <c r="M64" i="2"/>
  <c r="M108" i="2"/>
  <c r="M110" i="2" s="1"/>
  <c r="N59" i="2"/>
  <c r="N26" i="2"/>
  <c r="N30" i="2" s="1"/>
  <c r="N47" i="2"/>
  <c r="N107" i="2" s="1"/>
  <c r="O34" i="2"/>
  <c r="O79" i="2" s="1"/>
  <c r="O114" i="2"/>
  <c r="K150" i="2" s="1"/>
  <c r="O25" i="2"/>
  <c r="O29" i="2"/>
  <c r="O46" i="2"/>
  <c r="P24" i="2"/>
  <c r="O28" i="2"/>
  <c r="N32" i="2" l="1"/>
  <c r="N35" i="2" s="1"/>
  <c r="N36" i="2" s="1"/>
  <c r="N37" i="2" s="1"/>
  <c r="O77" i="2"/>
  <c r="O31" i="2"/>
  <c r="I147" i="2"/>
  <c r="I148" i="2" s="1"/>
  <c r="M96" i="2"/>
  <c r="M98" i="2" s="1"/>
  <c r="O116" i="2"/>
  <c r="P113" i="2" s="1"/>
  <c r="P115" i="2" s="1"/>
  <c r="L149" i="2" s="1"/>
  <c r="P34" i="2"/>
  <c r="P79" i="2" s="1"/>
  <c r="P114" i="2"/>
  <c r="L150" i="2" s="1"/>
  <c r="P28" i="2"/>
  <c r="P46" i="2"/>
  <c r="P106" i="2" s="1"/>
  <c r="P25" i="2"/>
  <c r="Q24" i="2"/>
  <c r="P29" i="2"/>
  <c r="O106" i="2"/>
  <c r="N108" i="2"/>
  <c r="N110" i="2" s="1"/>
  <c r="N64" i="2"/>
  <c r="O47" i="2"/>
  <c r="O26" i="2"/>
  <c r="O30" i="2" s="1"/>
  <c r="O59" i="2"/>
  <c r="O32" i="2" l="1"/>
  <c r="J146" i="2"/>
  <c r="J147" i="2" s="1"/>
  <c r="J148" i="2" s="1"/>
  <c r="P116" i="2"/>
  <c r="Q113" i="2" s="1"/>
  <c r="P77" i="2"/>
  <c r="O35" i="2"/>
  <c r="O36" i="2" s="1"/>
  <c r="O37" i="2" s="1"/>
  <c r="K146" i="2"/>
  <c r="P31" i="2"/>
  <c r="M67" i="2"/>
  <c r="M68" i="2" s="1"/>
  <c r="M70" i="2" s="1"/>
  <c r="N96" i="2"/>
  <c r="N98" i="2" s="1"/>
  <c r="P59" i="2"/>
  <c r="P47" i="2"/>
  <c r="P107" i="2" s="1"/>
  <c r="P26" i="2"/>
  <c r="P30" i="2" s="1"/>
  <c r="O64" i="2"/>
  <c r="O108" i="2"/>
  <c r="O107" i="2"/>
  <c r="Q29" i="2"/>
  <c r="Q25" i="2"/>
  <c r="Q28" i="2"/>
  <c r="Q34" i="2"/>
  <c r="Q46" i="2"/>
  <c r="Q106" i="2" s="1"/>
  <c r="Q114" i="2"/>
  <c r="M86" i="2" l="1" a="1"/>
  <c r="M150" i="2"/>
  <c r="K147" i="2"/>
  <c r="K148" i="2" s="1"/>
  <c r="P32" i="2"/>
  <c r="M86" i="2"/>
  <c r="Q79" i="2"/>
  <c r="M90" i="2" a="1"/>
  <c r="M90" i="2" s="1"/>
  <c r="O96" i="2"/>
  <c r="O98" i="2" s="1"/>
  <c r="N67" i="2"/>
  <c r="N68" i="2" s="1"/>
  <c r="N70" i="2" s="1"/>
  <c r="O110" i="2"/>
  <c r="Q59" i="2"/>
  <c r="Q26" i="2"/>
  <c r="Q30" i="2" s="1"/>
  <c r="Q47" i="2"/>
  <c r="Q107" i="2" s="1"/>
  <c r="P108" i="2"/>
  <c r="P110" i="2" s="1"/>
  <c r="P64" i="2"/>
  <c r="Q115" i="2"/>
  <c r="M149" i="2" s="1"/>
  <c r="O67" i="2" l="1"/>
  <c r="O68" i="2" s="1"/>
  <c r="O70" i="2" s="1"/>
  <c r="P35" i="2"/>
  <c r="P36" i="2" s="1"/>
  <c r="P37" i="2" s="1"/>
  <c r="P96" i="2" s="1"/>
  <c r="P98" i="2" s="1"/>
  <c r="L146" i="2"/>
  <c r="Q91" i="2"/>
  <c r="O91" i="2"/>
  <c r="P91" i="2"/>
  <c r="N91" i="2"/>
  <c r="M91" i="2"/>
  <c r="Q108" i="2"/>
  <c r="Q110" i="2" s="1"/>
  <c r="M80" i="2" s="1" a="1"/>
  <c r="Q64" i="2"/>
  <c r="Q31" i="2"/>
  <c r="Q32" i="2" s="1"/>
  <c r="Q77" i="2"/>
  <c r="Q116" i="2"/>
  <c r="M51" i="2" s="1" a="1"/>
  <c r="Q35" i="2" l="1"/>
  <c r="M146" i="2"/>
  <c r="R141" i="2" s="1"/>
  <c r="M80" i="2"/>
  <c r="I151" i="2" s="1"/>
  <c r="I152" i="2" s="1"/>
  <c r="I154" i="2" s="1"/>
  <c r="K151" i="2"/>
  <c r="K152" i="2" s="1"/>
  <c r="K154" i="2" s="1"/>
  <c r="M151" i="2"/>
  <c r="J151" i="2"/>
  <c r="J152" i="2" s="1"/>
  <c r="J154" i="2" s="1"/>
  <c r="L151" i="2"/>
  <c r="L147" i="2"/>
  <c r="L148" i="2" s="1"/>
  <c r="P67" i="2"/>
  <c r="P68" i="2" s="1"/>
  <c r="P70" i="2" s="1"/>
  <c r="M51" i="2"/>
  <c r="L152" i="2" l="1"/>
  <c r="L154" i="2" s="1"/>
  <c r="M147" i="2"/>
  <c r="M148" i="2" s="1"/>
  <c r="M152" i="2" s="1"/>
  <c r="M76" i="2" a="1"/>
  <c r="Q36" i="2"/>
  <c r="M82" i="2" s="1" a="1"/>
  <c r="M82" i="2" s="1"/>
  <c r="Q37" i="2" l="1"/>
  <c r="Q96" i="2" s="1"/>
  <c r="Q98" i="2" s="1"/>
  <c r="M154" i="2"/>
  <c r="R142" i="2"/>
  <c r="Q81" i="2"/>
  <c r="Q83" i="2" s="1"/>
  <c r="O81" i="2"/>
  <c r="O83" i="2" s="1"/>
  <c r="O99" i="2" s="1"/>
  <c r="M76" i="2"/>
  <c r="M81" i="2" s="1"/>
  <c r="M83" i="2" s="1"/>
  <c r="M99" i="2" s="1"/>
  <c r="M101" i="2" s="1"/>
  <c r="M44" i="2" s="1"/>
  <c r="N81" i="2"/>
  <c r="N83" i="2" s="1"/>
  <c r="N99" i="2" s="1"/>
  <c r="P81" i="2"/>
  <c r="P83" i="2" s="1"/>
  <c r="P99" i="2" s="1"/>
  <c r="Q99" i="2" l="1"/>
  <c r="Q67" i="2"/>
  <c r="Q68" i="2" s="1"/>
  <c r="Q70" i="2" s="1"/>
  <c r="R143" i="2"/>
  <c r="N152" i="2" s="1"/>
  <c r="N100" i="2"/>
  <c r="M55" i="2"/>
  <c r="M72" i="2" s="1"/>
  <c r="N101" i="2"/>
  <c r="N44" i="2" s="1"/>
  <c r="N154" i="2" l="1"/>
  <c r="O100" i="2"/>
  <c r="O101" i="2" s="1"/>
  <c r="O44" i="2" s="1"/>
  <c r="N55" i="2"/>
  <c r="N72" i="2" s="1"/>
  <c r="E159" i="2" l="1"/>
  <c r="E163" i="2" s="1"/>
  <c r="E165" i="2" s="1"/>
  <c r="I182" i="2" s="1"/>
  <c r="O55" i="2"/>
  <c r="O72" i="2" s="1"/>
  <c r="P100" i="2"/>
  <c r="P101" i="2" s="1"/>
  <c r="P44" i="2" s="1"/>
  <c r="I173" i="2" l="1"/>
  <c r="M160" i="2"/>
  <c r="M161" i="2" s="1"/>
  <c r="Q100" i="2"/>
  <c r="Q101" i="2" s="1"/>
  <c r="Q44" i="2" s="1"/>
  <c r="Q55" i="2" s="1"/>
  <c r="Q72" i="2" s="1"/>
  <c r="P55" i="2"/>
  <c r="P7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tc={E00E6E33-ACD3-4653-B8CA-BF7910B708EC}</author>
  </authors>
  <commentList>
    <comment ref="D95" authorId="0" shapeId="0" xr:uid="{E00E6E33-ACD3-4653-B8CA-BF7910B708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Historical Income statement point8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877803-04E4-4DB8-B8A5-54EC1C0BA681}" name="Query - Worksheet" description="Connection to the 'Worksheet' query in the workbook." type="100" refreshedVersion="8" minRefreshableVersion="5">
    <extLst>
      <ext xmlns:x15="http://schemas.microsoft.com/office/spreadsheetml/2010/11/main" uri="{DE250136-89BD-433C-8126-D09CA5730AF9}">
        <x15:connection id="c93547b6-4232-4b27-b8ed-e5896ba17e9c"/>
      </ext>
    </extLst>
  </connection>
  <connection id="2" xr16:uid="{0B4827CA-3C1A-46E5-8E58-2008DA968F4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<sst xmlns="http://schemas.openxmlformats.org/spreadsheetml/2006/main" count="605" uniqueCount="458">
  <si>
    <t>Heading</t>
  </si>
  <si>
    <t>Sub Heading</t>
  </si>
  <si>
    <t>Particulars</t>
  </si>
  <si>
    <t>Constant</t>
  </si>
  <si>
    <t>Width 40</t>
  </si>
  <si>
    <t>Width 0.75</t>
  </si>
  <si>
    <t>Units</t>
  </si>
  <si>
    <t>Separation Column</t>
  </si>
  <si>
    <t>Calulations-&gt;</t>
  </si>
  <si>
    <t>Alkem Laboratories Limited</t>
  </si>
  <si>
    <t>Historical Financial Information</t>
  </si>
  <si>
    <t>Income</t>
  </si>
  <si>
    <t>Expenses</t>
  </si>
  <si>
    <t>Total expenses</t>
  </si>
  <si>
    <t>Total tax expenses (a + b)</t>
  </si>
  <si>
    <t>Share in loss after tax of associate</t>
  </si>
  <si>
    <t>Basic and diluted earnings per share</t>
  </si>
  <si>
    <t>1 Income</t>
  </si>
  <si>
    <t>(a) Revenue from operations</t>
  </si>
  <si>
    <t>(b) Other income</t>
  </si>
  <si>
    <t>Total Income</t>
  </si>
  <si>
    <t>2 Expenses</t>
  </si>
  <si>
    <t>(a) Cost of materials consumed</t>
  </si>
  <si>
    <t>(b) Purchases of stock-in-trade</t>
  </si>
  <si>
    <t>(c) Changes in inventories of finished goods work-in-progress and stock-in-trade</t>
  </si>
  <si>
    <t>(d) Employee benefits expense</t>
  </si>
  <si>
    <t>(e) Finance costs</t>
  </si>
  <si>
    <t>(g) Other expenses</t>
  </si>
  <si>
    <t>3 Profit before exceptional Items and tax (1) - (2)</t>
  </si>
  <si>
    <t>4 Exceptional Items</t>
  </si>
  <si>
    <t>5 Profit before tax (3) + (4)</t>
  </si>
  <si>
    <t>6 Tax expense</t>
  </si>
  <si>
    <t>(a) Current tax</t>
  </si>
  <si>
    <t>(b) Deferred tax charge/(credit) (net)</t>
  </si>
  <si>
    <t>8 Profit attributable to Non-Controlling Interest</t>
  </si>
  <si>
    <t>9 Profit attributable to Owners of the Company (7) - (8)</t>
  </si>
  <si>
    <t>10 Other Comprehensive Income</t>
  </si>
  <si>
    <t>(a) (i) Items that will not be reclassified subsequently to profit or loss</t>
  </si>
  <si>
    <t>(ii) Income tax relating to items that will not be reclassified to profit or loss</t>
  </si>
  <si>
    <t>(b) (i) Items that will be reclassified to profit or loss</t>
  </si>
  <si>
    <t>(ii) Income tax relating to items that will be reclassified to profit or loss</t>
  </si>
  <si>
    <t>Total of Other Comprehensive Income/(Loss) for the year net of tax</t>
  </si>
  <si>
    <t>11 Other Comprehensive Income/(Loss) attributable to Non-Controlling Interest</t>
  </si>
  <si>
    <t>12 Other Comprehensive Income/(Loss) attributable to Owners of the Company (10) - (11)</t>
  </si>
  <si>
    <t>13 Total Comprehensive Income for the year (7) + (10)</t>
  </si>
  <si>
    <t>14 Total Comprehensive Income/(Loss) attributable to Non-Controlling Interest (8) + (11)</t>
  </si>
  <si>
    <t>15 Total Comprehensive Income/(Loss) attributable to Owners of the Company (13)-(14)</t>
  </si>
  <si>
    <t>16 Earnings per share (In ): Face value of * 2 each</t>
  </si>
  <si>
    <t>7 Profit for the year (5) - (6) + (7)</t>
  </si>
  <si>
    <t>Balance Sheet</t>
  </si>
  <si>
    <t>TOTAL EQUITY AND LIABILITIES</t>
  </si>
  <si>
    <t>Total liabilities</t>
  </si>
  <si>
    <t>Liabilities Classiefied as held for sale</t>
  </si>
  <si>
    <t>Total current liabilities</t>
  </si>
  <si>
    <t>(d) Current tax liabilities (net)</t>
  </si>
  <si>
    <t>(c) Provisions</t>
  </si>
  <si>
    <t>(b) Other current liabilities</t>
  </si>
  <si>
    <t>(iii) Other financial liabilities</t>
  </si>
  <si>
    <t>Total outstanding dues of creditors other than micro and small enterprises</t>
  </si>
  <si>
    <t>Total outstanding dues of micro enterprises and small enterprises</t>
  </si>
  <si>
    <t>(ii) Trade payables</t>
  </si>
  <si>
    <t>(ia) Lease liabilities</t>
  </si>
  <si>
    <t>(i) Borrowings</t>
  </si>
  <si>
    <t>(a) Financial llabllites</t>
  </si>
  <si>
    <t>2b Current liabilities</t>
  </si>
  <si>
    <t>Total non-current liabilities</t>
  </si>
  <si>
    <t>(c) Other non-current liabilities</t>
  </si>
  <si>
    <t>(b) Provisions</t>
  </si>
  <si>
    <t>(ii) Other financial Liabilities</t>
  </si>
  <si>
    <t>(a) Financial liabilities</t>
  </si>
  <si>
    <t>2a Non-current liabilities</t>
  </si>
  <si>
    <t>2 Liabilitles</t>
  </si>
  <si>
    <t>Total Equity</t>
  </si>
  <si>
    <t>(c) Non-controlling Interest</t>
  </si>
  <si>
    <t>Equity attributable to owners of the Company</t>
  </si>
  <si>
    <t>(b) Other equity</t>
  </si>
  <si>
    <t>(a) Equity share capital</t>
  </si>
  <si>
    <t>1 Equity</t>
  </si>
  <si>
    <t>II. EQUITY AND LIABILITIES</t>
  </si>
  <si>
    <t>TOTAL ASSETS</t>
  </si>
  <si>
    <t>Total current assets</t>
  </si>
  <si>
    <t>-</t>
  </si>
  <si>
    <t>(d) Non-current assets held for sale</t>
  </si>
  <si>
    <t>(c) Other current assets</t>
  </si>
  <si>
    <t>(vi) Other financial assets</t>
  </si>
  <si>
    <t>(v) Loans</t>
  </si>
  <si>
    <t>(iv) Bank balances other than (iii) above</t>
  </si>
  <si>
    <t>(iii) Cash and cash equivalents</t>
  </si>
  <si>
    <t>(ii) Trade receivables</t>
  </si>
  <si>
    <t>(i) Investments</t>
  </si>
  <si>
    <t>(b) Financial assets</t>
  </si>
  <si>
    <t>(a) Inventorles</t>
  </si>
  <si>
    <t>2 Current assets</t>
  </si>
  <si>
    <t>Total non-current assets</t>
  </si>
  <si>
    <t>(h) Other non-current assets</t>
  </si>
  <si>
    <t>(g) Non-current tax assets (net)</t>
  </si>
  <si>
    <t>(f) Deferred tax assets (net)</t>
  </si>
  <si>
    <t>(iii) Other financial assets</t>
  </si>
  <si>
    <t>(ii) Loans</t>
  </si>
  <si>
    <t>(e) Financial assets</t>
  </si>
  <si>
    <t>(J) Intangible Assets Under dvelopment</t>
  </si>
  <si>
    <t>(d) Other Intangible assets</t>
  </si>
  <si>
    <t>(c) Goodwill</t>
  </si>
  <si>
    <t>(b) Capital work in progress</t>
  </si>
  <si>
    <t>(i) Right zof Use Assets</t>
  </si>
  <si>
    <t>(a) Property, plant and equipment</t>
  </si>
  <si>
    <t>1 Non-current assets</t>
  </si>
  <si>
    <t>I. ASSETS</t>
  </si>
  <si>
    <t>Cashflow Statement</t>
  </si>
  <si>
    <t>A Cash Flow from Operating Activities:</t>
  </si>
  <si>
    <t>Profit before Tax</t>
  </si>
  <si>
    <t>Adjustments for:</t>
  </si>
  <si>
    <t>Depreciation and amortisation expense</t>
  </si>
  <si>
    <t>Liabilities no longer required written back</t>
  </si>
  <si>
    <t>Profit on sale of investments</t>
  </si>
  <si>
    <t>Unrealised (gain) / loss on fair valuation of investments (net)</t>
  </si>
  <si>
    <t>Profit on sale of property plant and equipment (net)</t>
  </si>
  <si>
    <t>Employee stock compensation expenses</t>
  </si>
  <si>
    <t>Recovery of Bad debts</t>
  </si>
  <si>
    <t>Unrealised foreign currency (gain) / loss on revaluation (net)</t>
  </si>
  <si>
    <t>Dividend Income</t>
  </si>
  <si>
    <t>Profit on sale of brand (net)</t>
  </si>
  <si>
    <t>Impairment loss on property plant and equipment</t>
  </si>
  <si>
    <t>Interest Income</t>
  </si>
  <si>
    <t>Interest expenses</t>
  </si>
  <si>
    <t>Allowances for doubtful debts</t>
  </si>
  <si>
    <t>Rent income</t>
  </si>
  <si>
    <t>Subtotal of Adjustments</t>
  </si>
  <si>
    <t>Operating profit before working capital changes</t>
  </si>
  <si>
    <t>Adjustments for changes in working capital:</t>
  </si>
  <si>
    <t>(Increase) in trade receivables</t>
  </si>
  <si>
    <t>(Increase) / Decrease in loans other financial assets and other assets</t>
  </si>
  <si>
    <t>(Increase) in inventories</t>
  </si>
  <si>
    <t>Increase / (Decrease) in trade payable other financial liabilities and other liabilities</t>
  </si>
  <si>
    <t>Increase in provisions</t>
  </si>
  <si>
    <t>Subtotal of adjustments</t>
  </si>
  <si>
    <t>Cash generated from operations</t>
  </si>
  <si>
    <t>Less: Income taxes paid (net of refund)</t>
  </si>
  <si>
    <t>Net Cash generated from operating activities</t>
  </si>
  <si>
    <t>B Cash Flow from Investing Activities:</t>
  </si>
  <si>
    <t>Purchases of property plant and equipment</t>
  </si>
  <si>
    <t>Sale of property plant and equipment</t>
  </si>
  <si>
    <t>Investment made in FD</t>
  </si>
  <si>
    <t>(Purchase of) / Proceeds from sale of investments (net)</t>
  </si>
  <si>
    <t>Investment made in bank deposits having maturity of more than 3 months (net)</t>
  </si>
  <si>
    <t>Dividend received</t>
  </si>
  <si>
    <t>Interest received</t>
  </si>
  <si>
    <t>Rent received</t>
  </si>
  <si>
    <t>Net cash (used in) investing activities</t>
  </si>
  <si>
    <t>C Cash Flow from Financing Activities:</t>
  </si>
  <si>
    <t>Repayment of non-current borrowings (net)</t>
  </si>
  <si>
    <t>Proceeds from current borrowings (net)</t>
  </si>
  <si>
    <t>Proceeds from issue of compulsory convertible preferance share</t>
  </si>
  <si>
    <t>Dividends paid</t>
  </si>
  <si>
    <t>Repayment of lease liabilities (net)</t>
  </si>
  <si>
    <t>Interest and bank charges paid</t>
  </si>
  <si>
    <t>Net cash (used in)/generated from financing activities</t>
  </si>
  <si>
    <t>D Net (decrease)/increase in Cash and Cash Equivalents (A+B+C)</t>
  </si>
  <si>
    <t>E Cash &amp; Cash Equivalents as at the beginning of the year</t>
  </si>
  <si>
    <t>Add/Less: Effect of exchange difference on foreign currency cash and cash equivalents</t>
  </si>
  <si>
    <t>F Cash &amp; Cash Equivalents as at the end of the year (D+E) (Refer Note 3.9)</t>
  </si>
  <si>
    <t>Balancesheet</t>
  </si>
  <si>
    <t>Income Satement</t>
  </si>
  <si>
    <t>Sales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</si>
  <si>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</si>
  <si>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</si>
  <si>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</si>
  <si>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</si>
  <si>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</si>
  <si>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</si>
  <si>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</si>
  <si>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OPM</t>
  </si>
  <si>
    <t>Finanicial Statements and Analysis</t>
  </si>
  <si>
    <t>Historical Period</t>
  </si>
  <si>
    <t>Forcasted Period</t>
  </si>
  <si>
    <t>Income Statement</t>
  </si>
  <si>
    <t>Revenue</t>
  </si>
  <si>
    <t>₹ in MM</t>
  </si>
  <si>
    <t>Cost of Goood Sold(COGS)</t>
  </si>
  <si>
    <t>Gross Profit</t>
  </si>
  <si>
    <t>Expense</t>
  </si>
  <si>
    <t>Salalries and Benefits</t>
  </si>
  <si>
    <t>Other SG&amp;A Expenses</t>
  </si>
  <si>
    <t>EBITDA</t>
  </si>
  <si>
    <t>EBIT</t>
  </si>
  <si>
    <t>Interest Expenses</t>
  </si>
  <si>
    <t>Earnings Before Tax</t>
  </si>
  <si>
    <t>Taxes</t>
  </si>
  <si>
    <t>Net Earnings</t>
  </si>
  <si>
    <t>₹ MM</t>
  </si>
  <si>
    <t>Assets</t>
  </si>
  <si>
    <t>Current Assets</t>
  </si>
  <si>
    <t>Cash</t>
  </si>
  <si>
    <t>Accounts Receivables</t>
  </si>
  <si>
    <t>Inventory</t>
  </si>
  <si>
    <t>Other Current Assets</t>
  </si>
  <si>
    <t>Bank Deposits</t>
  </si>
  <si>
    <t>Non-Current Assets</t>
  </si>
  <si>
    <t>Property &amp; Equiipments</t>
  </si>
  <si>
    <t>Goodwill</t>
  </si>
  <si>
    <t>Financial Assets</t>
  </si>
  <si>
    <t>Other Non Current Assets</t>
  </si>
  <si>
    <t>Total Assets</t>
  </si>
  <si>
    <t>Liabilities</t>
  </si>
  <si>
    <t>Current Liabilities</t>
  </si>
  <si>
    <t>Accounts Payables</t>
  </si>
  <si>
    <t>Other Current Liabilities</t>
  </si>
  <si>
    <t>Non-Current Liabilities</t>
  </si>
  <si>
    <t>Debt</t>
  </si>
  <si>
    <t>Other Non Current Liabilities</t>
  </si>
  <si>
    <t>Total Liabilities</t>
  </si>
  <si>
    <t>Equity</t>
  </si>
  <si>
    <t>Equity Capital</t>
  </si>
  <si>
    <t>Retained Earnings</t>
  </si>
  <si>
    <t>Shareholder's Equity</t>
  </si>
  <si>
    <t>Total Shareholder's Equity</t>
  </si>
  <si>
    <t>Non Controlling Interest</t>
  </si>
  <si>
    <t>Total Liabilities &amp; Shahreholder Equity</t>
  </si>
  <si>
    <t>Check</t>
  </si>
  <si>
    <t>Cashflow from Operating Acitvities</t>
  </si>
  <si>
    <t>Net Income</t>
  </si>
  <si>
    <t>Cashflow From Operating Activities</t>
  </si>
  <si>
    <t>(+/-) Change In Working Capital</t>
  </si>
  <si>
    <t>(+/-) Depriciation&amp;Amortisation</t>
  </si>
  <si>
    <t>(+/-) Non Cash Expenses</t>
  </si>
  <si>
    <t>(+/-) Non Operating Losses</t>
  </si>
  <si>
    <t xml:space="preserve">(-) Income Tax </t>
  </si>
  <si>
    <t>Net Cashflow From Operations</t>
  </si>
  <si>
    <t>Cashflow from Investing Activities</t>
  </si>
  <si>
    <t>(-) Investments in Properties and equipment</t>
  </si>
  <si>
    <t>(+) Sale of Property plant and Equipment</t>
  </si>
  <si>
    <t>(+) Investment Made in Instruments</t>
  </si>
  <si>
    <t>(-) Sale of investments</t>
  </si>
  <si>
    <t>(+) Interest and Dividend received</t>
  </si>
  <si>
    <t>Cash From Investing Activity</t>
  </si>
  <si>
    <t>Cashflow from Financing Activities</t>
  </si>
  <si>
    <t>Issuance of debt repayment</t>
  </si>
  <si>
    <t>Issuance of Preference Share (NCI)</t>
  </si>
  <si>
    <t>Dividend Paid</t>
  </si>
  <si>
    <t>Interest Paid</t>
  </si>
  <si>
    <t>Cash From Financing Activities</t>
  </si>
  <si>
    <t>Net Cashflow</t>
  </si>
  <si>
    <t>Opening Cash Balance</t>
  </si>
  <si>
    <t>Closing Cash Balance</t>
  </si>
  <si>
    <t>Supporting Schedule</t>
  </si>
  <si>
    <t>Working Capital</t>
  </si>
  <si>
    <t>Accounts Recievable</t>
  </si>
  <si>
    <t>Others</t>
  </si>
  <si>
    <t>Total</t>
  </si>
  <si>
    <t>Depriciation Schedule</t>
  </si>
  <si>
    <t>PPE Opening</t>
  </si>
  <si>
    <t>Plus Capex</t>
  </si>
  <si>
    <t>Less Depriciation</t>
  </si>
  <si>
    <t>PPE Closing</t>
  </si>
  <si>
    <t>Debt &amp; Interest Schedule</t>
  </si>
  <si>
    <t>Debt Opening</t>
  </si>
  <si>
    <t>Issuance(Repayment)</t>
  </si>
  <si>
    <t>Debt Closing</t>
  </si>
  <si>
    <t>Interest Expense</t>
  </si>
  <si>
    <t>Ratios &amp; Assumptions</t>
  </si>
  <si>
    <t>Cost of Goood Sold (% of Revenue)</t>
  </si>
  <si>
    <t>Interest Expenses (% of Debt)</t>
  </si>
  <si>
    <t>Depreciation and amortisation expense (% of PP&amp;E)</t>
  </si>
  <si>
    <t>Salaries and Benefits (% of Revenue)</t>
  </si>
  <si>
    <t>Other SG&amp;A Expenses (% of Revenue)</t>
  </si>
  <si>
    <t>Other Income(Expenses) (% of Revenue)</t>
  </si>
  <si>
    <t>Taxes (% of Earnings before Tax)</t>
  </si>
  <si>
    <t>Dividend Payout</t>
  </si>
  <si>
    <t>Accounts Recievables</t>
  </si>
  <si>
    <t>Captal asset turnover ratio</t>
  </si>
  <si>
    <t>%</t>
  </si>
  <si>
    <t>Revenue(Growth)</t>
  </si>
  <si>
    <t>Days</t>
  </si>
  <si>
    <t>Inventory DIO</t>
  </si>
  <si>
    <t>Times</t>
  </si>
  <si>
    <t>Quaterly Financials</t>
  </si>
  <si>
    <t>Scenarios</t>
  </si>
  <si>
    <t>Base Case</t>
  </si>
  <si>
    <t>Bull Case</t>
  </si>
  <si>
    <t>Bear Case</t>
  </si>
  <si>
    <t>Annual Growth Tapering</t>
  </si>
  <si>
    <t>Growth</t>
  </si>
  <si>
    <t>CAGR rates</t>
  </si>
  <si>
    <t>Compound Annual Growth Rate</t>
  </si>
  <si>
    <t>Base Case Is Compund annual growth rate of 4 years</t>
  </si>
  <si>
    <t>Bull Case is maximum rate of previous 4 years revenue growth</t>
  </si>
  <si>
    <t>Bear Case is economic growth rate</t>
  </si>
  <si>
    <t>Live Scenario</t>
  </si>
  <si>
    <t>Also Indian Pharmaceutical sector is expected to grow at a CAGR of 21% so if company can apply full potential towards growth it can achieve this bullish rate</t>
  </si>
  <si>
    <t>Comps Valuation</t>
  </si>
  <si>
    <t>Company Name</t>
  </si>
  <si>
    <t>Price</t>
  </si>
  <si>
    <t>Market Cap</t>
  </si>
  <si>
    <t>EV</t>
  </si>
  <si>
    <t>Sale</t>
  </si>
  <si>
    <t>Earnings</t>
  </si>
  <si>
    <t>₹/share</t>
  </si>
  <si>
    <t>M</t>
  </si>
  <si>
    <t>Market Data</t>
  </si>
  <si>
    <t>Financial Data</t>
  </si>
  <si>
    <t>Valuation Metrics</t>
  </si>
  <si>
    <t>EV/Sales</t>
  </si>
  <si>
    <t>EV/EBITDA</t>
  </si>
  <si>
    <t>P/E</t>
  </si>
  <si>
    <t>x</t>
  </si>
  <si>
    <t>S.No.</t>
  </si>
  <si>
    <t>Name</t>
  </si>
  <si>
    <t>EV / EBITDA</t>
  </si>
  <si>
    <t>Sun Pharma.Inds.</t>
  </si>
  <si>
    <t>Divi's Lab.</t>
  </si>
  <si>
    <t>Torrent Pharma.</t>
  </si>
  <si>
    <t>Dr Reddy's Labs</t>
  </si>
  <si>
    <t>Cipla</t>
  </si>
  <si>
    <t>Lupin</t>
  </si>
  <si>
    <t>Zydus Lifesci.</t>
  </si>
  <si>
    <t>Alkem Lab</t>
  </si>
  <si>
    <t xml:space="preserve">Shares </t>
  </si>
  <si>
    <t>Average</t>
  </si>
  <si>
    <t>Median</t>
  </si>
  <si>
    <t>Metric</t>
  </si>
  <si>
    <t>Comps</t>
  </si>
  <si>
    <t xml:space="preserve">Net Debt </t>
  </si>
  <si>
    <t>Equity Value</t>
  </si>
  <si>
    <t>Shares</t>
  </si>
  <si>
    <t>Share Price</t>
  </si>
  <si>
    <t>CMP Rs.</t>
  </si>
  <si>
    <t>Mar Cap Rs.MM</t>
  </si>
  <si>
    <t>No. Eq. Shares PY MM</t>
  </si>
  <si>
    <t>Debt Rs.MM</t>
  </si>
  <si>
    <t>Cash Rs.MM</t>
  </si>
  <si>
    <t>EV Rs.MM</t>
  </si>
  <si>
    <t>Sales Rs.MM</t>
  </si>
  <si>
    <t>EBIDT Ann Rs.MM</t>
  </si>
  <si>
    <t>PAT 12M Rs.MM</t>
  </si>
  <si>
    <t>Equity Market Return</t>
  </si>
  <si>
    <t>Date</t>
  </si>
  <si>
    <t xml:space="preserve">Index Close </t>
  </si>
  <si>
    <t>No. of Years</t>
  </si>
  <si>
    <t>Market Return</t>
  </si>
  <si>
    <t>Index</t>
  </si>
  <si>
    <t>Nifty 50</t>
  </si>
  <si>
    <t>Beta</t>
  </si>
  <si>
    <t>Tax In MM</t>
  </si>
  <si>
    <t>Levered Beta</t>
  </si>
  <si>
    <t>Tax Rate</t>
  </si>
  <si>
    <t>Weigthed Average Cost of Capital</t>
  </si>
  <si>
    <t>Comparable Companies Beta</t>
  </si>
  <si>
    <t>Value</t>
  </si>
  <si>
    <t xml:space="preserve">Total </t>
  </si>
  <si>
    <t>Debt/</t>
  </si>
  <si>
    <t>Capital</t>
  </si>
  <si>
    <t xml:space="preserve">Tax </t>
  </si>
  <si>
    <t>Rate%</t>
  </si>
  <si>
    <t xml:space="preserve">Levered </t>
  </si>
  <si>
    <t xml:space="preserve">Unlevered </t>
  </si>
  <si>
    <t>WACC Calculation</t>
  </si>
  <si>
    <t>Target Capital Structure</t>
  </si>
  <si>
    <t>Proportion of Debt</t>
  </si>
  <si>
    <t>Proportion Of Equity</t>
  </si>
  <si>
    <t>Current Capital Structure</t>
  </si>
  <si>
    <t>Cost of Debt</t>
  </si>
  <si>
    <t>Cost of Equity</t>
  </si>
  <si>
    <t>Total Debt</t>
  </si>
  <si>
    <t>Debt/ Equity</t>
  </si>
  <si>
    <t>Pre Tax Cost of Debt</t>
  </si>
  <si>
    <t>After Tax Cost of Debt</t>
  </si>
  <si>
    <t>Risk Free Rate</t>
  </si>
  <si>
    <t>Equity Risk Premium</t>
  </si>
  <si>
    <t>Levered Equity Beta</t>
  </si>
  <si>
    <t>WACC</t>
  </si>
  <si>
    <t>GRANULES.NS</t>
  </si>
  <si>
    <t>AJANTPHARM.NS</t>
  </si>
  <si>
    <t>LAURUSLABS.NS</t>
  </si>
  <si>
    <t>IPCALAB.NS</t>
  </si>
  <si>
    <t>GLENMARK.NS</t>
  </si>
  <si>
    <t>BIOCON.NS</t>
  </si>
  <si>
    <t>TORNTPHARM.NS</t>
  </si>
  <si>
    <t>AUROPHARMA.NS</t>
  </si>
  <si>
    <t>ZYDUSLIFE.NS</t>
  </si>
  <si>
    <t>DIVISLAB.NS</t>
  </si>
  <si>
    <t>ALKEM.NS</t>
  </si>
  <si>
    <t>LUPIN.NS</t>
  </si>
  <si>
    <t>CIPLA.NS</t>
  </si>
  <si>
    <t>DRREDDY.NS</t>
  </si>
  <si>
    <t>SUNPHARMA.NS</t>
  </si>
  <si>
    <t xml:space="preserve">Unlevered Beta </t>
  </si>
  <si>
    <t>Calculated this beta using python model , screener and yahoo finance beta was not reliable</t>
  </si>
  <si>
    <r>
      <t xml:space="preserve">These levered betas I got from screeener doesn't make sense, it's too defensive for pharma sector. I checked Damodaran's Beta for pharma (180 companies) which was 0.98 but was dominated by US market so I am estimating indian pharmaceutical sector average levered Beta as 0.57 after regressing companies in python. (Output in </t>
    </r>
    <r>
      <rPr>
        <b/>
        <sz val="11"/>
        <color theme="1"/>
        <rFont val="Calibri"/>
        <family val="2"/>
      </rPr>
      <t>Comps_Data)</t>
    </r>
  </si>
  <si>
    <t>Company Beta</t>
  </si>
  <si>
    <t>% Change</t>
  </si>
  <si>
    <t>Closing Price</t>
  </si>
  <si>
    <t>Monthly</t>
  </si>
  <si>
    <t>Stock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</si>
  <si>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</si>
  <si>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</si>
  <si>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</si>
  <si>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</si>
  <si>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</si>
  <si>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</si>
  <si>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</si>
  <si>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</si>
  <si>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</si>
  <si>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</si>
  <si>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</si>
  <si>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</si>
  <si>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</si>
  <si>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</si>
  <si>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</si>
  <si>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</si>
  <si>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</si>
  <si>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</si>
  <si>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</si>
  <si>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</si>
  <si>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</si>
  <si>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</si>
  <si>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</si>
  <si>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</si>
  <si>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DCF Model</t>
  </si>
  <si>
    <t>Assumptions</t>
  </si>
  <si>
    <t>Transaction Date</t>
  </si>
  <si>
    <t>Fiscal Year End</t>
  </si>
  <si>
    <t>Discounted Cash Flow</t>
  </si>
  <si>
    <t xml:space="preserve">Entry </t>
  </si>
  <si>
    <t>Time Period</t>
  </si>
  <si>
    <t>Exit</t>
  </si>
  <si>
    <t>Year frac.</t>
  </si>
  <si>
    <t>Less: Cash Taxes</t>
  </si>
  <si>
    <t>NOPAT</t>
  </si>
  <si>
    <t>Plus: Depriciation &amp; Amortitization</t>
  </si>
  <si>
    <t>Unlevered FCFF</t>
  </si>
  <si>
    <t>Transaction FCFF</t>
  </si>
  <si>
    <t>Terminal Value</t>
  </si>
  <si>
    <t>Prep. Growth</t>
  </si>
  <si>
    <t>EV/EBITDA Multiple</t>
  </si>
  <si>
    <t>Perpetual Growth Rate</t>
  </si>
  <si>
    <t>Discount Rate</t>
  </si>
  <si>
    <t>Intrinsic Value</t>
  </si>
  <si>
    <t>Ensterprise Value</t>
  </si>
  <si>
    <t>Plus: Cash &amp; Cash Equivalents</t>
  </si>
  <si>
    <t>Less: Debt</t>
  </si>
  <si>
    <t>Less: Non Controlling Interest</t>
  </si>
  <si>
    <t>Share Oustanding</t>
  </si>
  <si>
    <t>in MM</t>
  </si>
  <si>
    <t>Equity per share</t>
  </si>
  <si>
    <t>Market Value</t>
  </si>
  <si>
    <t>Plus: Debt</t>
  </si>
  <si>
    <t>Plus: Non Controlling Interest</t>
  </si>
  <si>
    <t>Less: Cash &amp; Equivalents</t>
  </si>
  <si>
    <t>Enterprise Value</t>
  </si>
  <si>
    <t>Rate of Return</t>
  </si>
  <si>
    <t>Current Price</t>
  </si>
  <si>
    <t>Target Price</t>
  </si>
  <si>
    <t>TP upside</t>
  </si>
  <si>
    <t>Sensitivity Analysis</t>
  </si>
  <si>
    <t>Sensitiviities- Intrinsic value(₹/share)</t>
  </si>
  <si>
    <t>Exit Multiple</t>
  </si>
  <si>
    <t>Change in Working Capital</t>
  </si>
  <si>
    <t>Less: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</si>
</sst>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8" formatCode="&quot;₹&quot;\ #,##0.00;[Red]&quot;₹&quot;\ \-#,##0.00"/>
    <numFmt numFmtId="43" formatCode="_ * #,##0.00_ ;_ * \-#,##0.00_ ;_ * &quot;-&quot;??_ ;_ @_ "/>
    <numFmt numFmtId="164" formatCode="#,##0.00;\(#,##0.00\)"/>
    <numFmt numFmtId="165" formatCode="[$-409]mmm\-yy;@"/>
    <numFmt numFmtId="166" formatCode="#\A"/>
    <numFmt numFmtId="167" formatCode="#&quot;E&quot;"/>
    <numFmt numFmtId="168" formatCode="#,##0;\(#,##0\);&quot;-&quot;"/>
    <numFmt numFmtId="169" formatCode="#,##0.0;\(#,##0.0\);&quot;-&quot;"/>
    <numFmt numFmtId="170" formatCode="0.0%"/>
    <numFmt numFmtId="171" formatCode="0.0&quot;X&quot;"/>
    <numFmt numFmtId="172" formatCode="0.000&quot;x&quot;"/>
    <numFmt numFmtId="173" formatCode="0.0&quot;x&quot;"/>
    <numFmt numFmtId="174" formatCode="#,##0.00_ ;[Red]\-#,##0.00\ "/>
  </numFmts>
  <fonts count="3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25"/>
      <color theme="0"/>
      <name val="Calibri"/>
      <family val="2"/>
    </font>
    <font>
      <sz val="15"/>
      <color theme="0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0"/>
      <name val="Calibri"/>
      <family val="2"/>
    </font>
    <font>
      <b/>
      <sz val="14"/>
      <color theme="0"/>
      <name val="Calibri"/>
      <family val="2"/>
    </font>
    <font>
      <b/>
      <sz val="16"/>
      <color theme="0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sz val="11"/>
      <color theme="1" tint="4.9989318521683403E-2"/>
      <name val="Calibri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theme="7" tint="-0.499984740745262"/>
      <name val="Calibri"/>
      <family val="2"/>
    </font>
    <font>
      <sz val="11"/>
      <color theme="1"/>
      <name val="Calibri Light"/>
      <family val="2"/>
    </font>
    <font>
      <sz val="11"/>
      <color theme="1"/>
      <name val="Calibri Light"/>
      <family val="2"/>
    </font>
    <font>
      <u/>
      <sz val="11"/>
      <color theme="1"/>
      <name val="Calibri Light"/>
      <family val="2"/>
    </font>
    <font>
      <sz val="11"/>
      <color theme="5" tint="-0.499984740745262"/>
      <name val="Calibri"/>
      <family val="2"/>
    </font>
    <font>
      <i/>
      <sz val="11"/>
      <color theme="1"/>
      <name val="Calibri"/>
      <family val="2"/>
    </font>
    <font>
      <i/>
      <sz val="11"/>
      <color theme="5" tint="-0.24994659260841701"/>
      <name val="Calibri"/>
      <family val="2"/>
    </font>
    <font>
      <b/>
      <sz val="12"/>
      <color theme="0"/>
      <name val="Calibri"/>
      <family val="2"/>
    </font>
    <font>
      <b/>
      <sz val="12"/>
      <color theme="0"/>
      <name val="Calibri Light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/>
      <bottom/>
      <diagonal/>
    </border>
    <border>
      <left style="thick">
        <color theme="0" tint="-4.9989318521683403E-2"/>
      </left>
      <right/>
      <top/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/>
      <right/>
      <top/>
      <bottom style="medium">
        <color theme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</cellStyleXfs>
  <cellXfs count="188">
    <xf numFmtId="0" fontId="0" fillId="0" borderId="0" xfId="0"/>
    <xf numFmtId="9" fontId="0" fillId="0" borderId="0" xfId="2" applyFont="1"/>
    <xf numFmtId="9" fontId="3" fillId="0" borderId="1" xfId="2" applyFont="1" applyBorder="1"/>
    <xf numFmtId="0" fontId="3" fillId="0" borderId="1" xfId="0" applyFont="1" applyBorder="1"/>
    <xf numFmtId="0" fontId="3" fillId="0" borderId="0" xfId="0" applyFont="1"/>
    <xf numFmtId="0" fontId="0" fillId="2" borderId="0" xfId="0" applyFill="1"/>
    <xf numFmtId="9" fontId="4" fillId="2" borderId="0" xfId="2" applyFont="1" applyFill="1"/>
    <xf numFmtId="0" fontId="4" fillId="2" borderId="0" xfId="0" applyFont="1" applyFill="1"/>
    <xf numFmtId="9" fontId="2" fillId="2" borderId="0" xfId="2" applyFont="1" applyFill="1"/>
    <xf numFmtId="9" fontId="5" fillId="2" borderId="0" xfId="2" applyFont="1" applyFill="1"/>
    <xf numFmtId="9" fontId="6" fillId="2" borderId="0" xfId="2" applyFont="1" applyFill="1"/>
    <xf numFmtId="0" fontId="3" fillId="0" borderId="3" xfId="0" applyFont="1" applyBorder="1"/>
    <xf numFmtId="0" fontId="0" fillId="0" borderId="3" xfId="0" applyBorder="1"/>
    <xf numFmtId="2" fontId="0" fillId="0" borderId="0" xfId="0" applyNumberFormat="1"/>
    <xf numFmtId="0" fontId="9" fillId="0" borderId="3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164" fontId="0" fillId="0" borderId="0" xfId="0" applyNumberFormat="1"/>
    <xf numFmtId="164" fontId="3" fillId="0" borderId="3" xfId="0" applyNumberFormat="1" applyFont="1" applyBorder="1"/>
    <xf numFmtId="164" fontId="9" fillId="0" borderId="0" xfId="0" applyNumberFormat="1" applyFont="1"/>
    <xf numFmtId="164" fontId="9" fillId="0" borderId="3" xfId="0" applyNumberFormat="1" applyFont="1" applyBorder="1"/>
    <xf numFmtId="0" fontId="12" fillId="0" borderId="0" xfId="0" applyFont="1"/>
    <xf numFmtId="43" fontId="12" fillId="0" borderId="0" xfId="1" applyFont="1" applyBorder="1"/>
    <xf numFmtId="43" fontId="13" fillId="0" borderId="0" xfId="1" applyFont="1" applyBorder="1"/>
    <xf numFmtId="9" fontId="12" fillId="0" borderId="0" xfId="2" applyFont="1" applyBorder="1"/>
    <xf numFmtId="0" fontId="0" fillId="0" borderId="5" xfId="0" applyBorder="1"/>
    <xf numFmtId="166" fontId="2" fillId="2" borderId="0" xfId="0" applyNumberFormat="1" applyFont="1" applyFill="1"/>
    <xf numFmtId="9" fontId="14" fillId="2" borderId="0" xfId="2" applyFont="1" applyFill="1"/>
    <xf numFmtId="0" fontId="0" fillId="0" borderId="6" xfId="0" applyBorder="1"/>
    <xf numFmtId="0" fontId="2" fillId="2" borderId="0" xfId="0" applyFont="1" applyFill="1"/>
    <xf numFmtId="0" fontId="2" fillId="2" borderId="0" xfId="0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15" fillId="2" borderId="0" xfId="0" applyFont="1" applyFill="1" applyAlignment="1">
      <alignment horizontal="centerContinuous"/>
    </xf>
    <xf numFmtId="9" fontId="3" fillId="0" borderId="0" xfId="2" applyFont="1"/>
    <xf numFmtId="9" fontId="16" fillId="2" borderId="0" xfId="2" applyFont="1" applyFill="1"/>
    <xf numFmtId="9" fontId="17" fillId="2" borderId="0" xfId="2" applyFont="1" applyFill="1"/>
    <xf numFmtId="0" fontId="17" fillId="2" borderId="0" xfId="0" applyFont="1" applyFill="1"/>
    <xf numFmtId="9" fontId="18" fillId="2" borderId="0" xfId="2" applyFont="1" applyFill="1"/>
    <xf numFmtId="168" fontId="0" fillId="0" borderId="0" xfId="0" applyNumberFormat="1"/>
    <xf numFmtId="168" fontId="3" fillId="0" borderId="0" xfId="0" applyNumberFormat="1" applyFont="1"/>
    <xf numFmtId="0" fontId="3" fillId="0" borderId="5" xfId="0" applyFont="1" applyBorder="1"/>
    <xf numFmtId="168" fontId="3" fillId="0" borderId="5" xfId="0" applyNumberFormat="1" applyFont="1" applyBorder="1"/>
    <xf numFmtId="168" fontId="19" fillId="0" borderId="0" xfId="0" applyNumberFormat="1" applyFont="1"/>
    <xf numFmtId="168" fontId="20" fillId="0" borderId="0" xfId="0" applyNumberFormat="1" applyFont="1"/>
    <xf numFmtId="0" fontId="3" fillId="0" borderId="8" xfId="0" applyFont="1" applyBorder="1"/>
    <xf numFmtId="0" fontId="0" fillId="0" borderId="8" xfId="0" applyBorder="1"/>
    <xf numFmtId="168" fontId="3" fillId="0" borderId="8" xfId="0" applyNumberFormat="1" applyFont="1" applyBorder="1"/>
    <xf numFmtId="9" fontId="3" fillId="0" borderId="5" xfId="2" applyFont="1" applyBorder="1"/>
    <xf numFmtId="169" fontId="0" fillId="0" borderId="0" xfId="0" applyNumberFormat="1"/>
    <xf numFmtId="169" fontId="10" fillId="0" borderId="0" xfId="0" applyNumberFormat="1" applyFont="1"/>
    <xf numFmtId="169" fontId="3" fillId="0" borderId="0" xfId="0" applyNumberFormat="1" applyFont="1"/>
    <xf numFmtId="169" fontId="11" fillId="0" borderId="0" xfId="0" applyNumberFormat="1" applyFont="1"/>
    <xf numFmtId="170" fontId="0" fillId="0" borderId="0" xfId="0" applyNumberFormat="1"/>
    <xf numFmtId="171" fontId="0" fillId="0" borderId="0" xfId="0" applyNumberFormat="1"/>
    <xf numFmtId="1" fontId="0" fillId="0" borderId="0" xfId="0" applyNumberFormat="1"/>
    <xf numFmtId="9" fontId="0" fillId="0" borderId="0" xfId="0" applyNumberFormat="1"/>
    <xf numFmtId="0" fontId="15" fillId="3" borderId="7" xfId="0" applyFont="1" applyFill="1" applyBorder="1" applyAlignment="1">
      <alignment horizontal="centerContinuous"/>
    </xf>
    <xf numFmtId="0" fontId="4" fillId="3" borderId="0" xfId="0" applyFont="1" applyFill="1" applyAlignment="1">
      <alignment horizontal="centerContinuous"/>
    </xf>
    <xf numFmtId="167" fontId="2" fillId="3" borderId="7" xfId="0" applyNumberFormat="1" applyFont="1" applyFill="1" applyBorder="1"/>
    <xf numFmtId="167" fontId="2" fillId="3" borderId="0" xfId="0" applyNumberFormat="1" applyFont="1" applyFill="1"/>
    <xf numFmtId="0" fontId="17" fillId="3" borderId="0" xfId="0" applyFont="1" applyFill="1"/>
    <xf numFmtId="0" fontId="12" fillId="4" borderId="2" xfId="0" applyFont="1" applyFill="1" applyBorder="1"/>
    <xf numFmtId="0" fontId="0" fillId="4" borderId="2" xfId="0" applyFill="1" applyBorder="1"/>
    <xf numFmtId="165" fontId="12" fillId="4" borderId="2" xfId="0" applyNumberFormat="1" applyFont="1" applyFill="1" applyBorder="1" applyAlignment="1">
      <alignment horizontal="center"/>
    </xf>
    <xf numFmtId="9" fontId="0" fillId="0" borderId="5" xfId="2" applyFont="1" applyBorder="1"/>
    <xf numFmtId="2" fontId="3" fillId="0" borderId="5" xfId="0" applyNumberFormat="1" applyFont="1" applyBorder="1"/>
    <xf numFmtId="9" fontId="0" fillId="0" borderId="0" xfId="2" applyFont="1" applyBorder="1"/>
    <xf numFmtId="170" fontId="0" fillId="0" borderId="10" xfId="0" applyNumberFormat="1" applyBorder="1"/>
    <xf numFmtId="0" fontId="3" fillId="0" borderId="11" xfId="0" applyFont="1" applyBorder="1"/>
    <xf numFmtId="0" fontId="0" fillId="0" borderId="11" xfId="0" applyBorder="1"/>
    <xf numFmtId="168" fontId="21" fillId="0" borderId="0" xfId="0" applyNumberFormat="1" applyFont="1"/>
    <xf numFmtId="0" fontId="0" fillId="5" borderId="0" xfId="0" applyFill="1"/>
    <xf numFmtId="164" fontId="0" fillId="5" borderId="0" xfId="0" applyNumberFormat="1" applyFill="1"/>
    <xf numFmtId="0" fontId="0" fillId="2" borderId="0" xfId="0" applyFill="1" applyAlignment="1">
      <alignment horizontal="centerContinuous"/>
    </xf>
    <xf numFmtId="8" fontId="2" fillId="2" borderId="0" xfId="0" applyNumberFormat="1" applyFont="1" applyFill="1"/>
    <xf numFmtId="0" fontId="0" fillId="6" borderId="0" xfId="0" applyFill="1"/>
    <xf numFmtId="0" fontId="22" fillId="7" borderId="0" xfId="0" applyFont="1" applyFill="1" applyAlignment="1">
      <alignment horizontal="left" vertical="center" indent="2"/>
    </xf>
    <xf numFmtId="0" fontId="8" fillId="7" borderId="0" xfId="4" applyFill="1" applyAlignment="1">
      <alignment horizontal="left" vertical="center"/>
    </xf>
    <xf numFmtId="0" fontId="22" fillId="7" borderId="0" xfId="0" applyFont="1" applyFill="1" applyAlignment="1">
      <alignment horizontal="right" vertical="center" wrapText="1"/>
    </xf>
    <xf numFmtId="0" fontId="22" fillId="6" borderId="0" xfId="0" applyFont="1" applyFill="1" applyAlignment="1">
      <alignment horizontal="left" vertical="center" indent="2"/>
    </xf>
    <xf numFmtId="0" fontId="8" fillId="6" borderId="0" xfId="4" applyFill="1" applyAlignment="1">
      <alignment horizontal="left" vertical="center"/>
    </xf>
    <xf numFmtId="0" fontId="22" fillId="6" borderId="0" xfId="0" applyFont="1" applyFill="1" applyAlignment="1">
      <alignment horizontal="right" vertical="center" wrapText="1"/>
    </xf>
    <xf numFmtId="0" fontId="23" fillId="6" borderId="0" xfId="0" applyFont="1" applyFill="1" applyAlignment="1">
      <alignment horizontal="left" vertical="center" indent="2"/>
    </xf>
    <xf numFmtId="0" fontId="23" fillId="6" borderId="0" xfId="0" applyFont="1" applyFill="1" applyAlignment="1">
      <alignment horizontal="left" vertical="center"/>
    </xf>
    <xf numFmtId="0" fontId="23" fillId="6" borderId="0" xfId="0" applyFont="1" applyFill="1" applyAlignment="1">
      <alignment horizontal="right" vertical="center" wrapText="1"/>
    </xf>
    <xf numFmtId="8" fontId="0" fillId="0" borderId="0" xfId="0" applyNumberFormat="1"/>
    <xf numFmtId="0" fontId="23" fillId="6" borderId="0" xfId="0" applyFont="1" applyFill="1" applyAlignment="1">
      <alignment horizontal="right" vertical="center" wrapText="1" indent="2"/>
    </xf>
    <xf numFmtId="8" fontId="24" fillId="0" borderId="0" xfId="0" applyNumberFormat="1" applyFont="1"/>
    <xf numFmtId="0" fontId="24" fillId="0" borderId="0" xfId="0" applyFont="1"/>
    <xf numFmtId="0" fontId="4" fillId="8" borderId="0" xfId="0" applyFont="1" applyFill="1"/>
    <xf numFmtId="2" fontId="4" fillId="8" borderId="0" xfId="0" applyNumberFormat="1" applyFont="1" applyFill="1"/>
    <xf numFmtId="0" fontId="4" fillId="4" borderId="0" xfId="0" applyFont="1" applyFill="1"/>
    <xf numFmtId="0" fontId="0" fillId="4" borderId="0" xfId="0" applyFill="1"/>
    <xf numFmtId="9" fontId="2" fillId="8" borderId="9" xfId="2" applyFont="1" applyFill="1" applyBorder="1" applyAlignment="1">
      <alignment horizontal="distributed"/>
    </xf>
    <xf numFmtId="1" fontId="3" fillId="4" borderId="9" xfId="2" applyNumberFormat="1" applyFont="1" applyFill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9" fontId="2" fillId="8" borderId="13" xfId="2" applyFont="1" applyFill="1" applyBorder="1"/>
    <xf numFmtId="9" fontId="2" fillId="8" borderId="14" xfId="2" applyFont="1" applyFill="1" applyBorder="1"/>
    <xf numFmtId="14" fontId="0" fillId="0" borderId="14" xfId="0" applyNumberFormat="1" applyBorder="1"/>
    <xf numFmtId="14" fontId="0" fillId="0" borderId="15" xfId="0" applyNumberFormat="1" applyBorder="1"/>
    <xf numFmtId="9" fontId="2" fillId="8" borderId="13" xfId="2" applyFont="1" applyFill="1" applyBorder="1" applyAlignment="1">
      <alignment horizontal="distributed" vertical="center"/>
    </xf>
    <xf numFmtId="9" fontId="2" fillId="8" borderId="14" xfId="2" applyFont="1" applyFill="1" applyBorder="1" applyAlignment="1">
      <alignment horizontal="distributed"/>
    </xf>
    <xf numFmtId="2" fontId="0" fillId="0" borderId="14" xfId="0" applyNumberFormat="1" applyBorder="1"/>
    <xf numFmtId="2" fontId="0" fillId="0" borderId="15" xfId="0" applyNumberFormat="1" applyBorder="1"/>
    <xf numFmtId="0" fontId="3" fillId="0" borderId="0" xfId="0" applyFont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0" fontId="0" fillId="0" borderId="0" xfId="0" applyNumberFormat="1"/>
    <xf numFmtId="8" fontId="0" fillId="9" borderId="0" xfId="0" applyNumberFormat="1" applyFill="1"/>
    <xf numFmtId="10" fontId="0" fillId="9" borderId="0" xfId="0" applyNumberFormat="1" applyFill="1"/>
    <xf numFmtId="9" fontId="0" fillId="9" borderId="0" xfId="0" applyNumberFormat="1" applyFill="1"/>
    <xf numFmtId="2" fontId="0" fillId="9" borderId="0" xfId="0" applyNumberFormat="1" applyFill="1"/>
    <xf numFmtId="0" fontId="3" fillId="9" borderId="0" xfId="0" applyFont="1" applyFill="1"/>
    <xf numFmtId="9" fontId="3" fillId="9" borderId="0" xfId="2" applyFont="1" applyFill="1"/>
    <xf numFmtId="10" fontId="0" fillId="0" borderId="5" xfId="0" applyNumberFormat="1" applyBorder="1"/>
    <xf numFmtId="10" fontId="3" fillId="0" borderId="8" xfId="0" applyNumberFormat="1" applyFont="1" applyBorder="1"/>
    <xf numFmtId="0" fontId="0" fillId="0" borderId="18" xfId="0" applyBorder="1"/>
    <xf numFmtId="2" fontId="0" fillId="0" borderId="19" xfId="0" applyNumberFormat="1" applyBorder="1"/>
    <xf numFmtId="0" fontId="0" fillId="0" borderId="19" xfId="0" applyBorder="1"/>
    <xf numFmtId="0" fontId="3" fillId="0" borderId="16" xfId="0" applyFont="1" applyBorder="1"/>
    <xf numFmtId="2" fontId="3" fillId="0" borderId="17" xfId="0" applyNumberFormat="1" applyFont="1" applyBorder="1"/>
    <xf numFmtId="0" fontId="3" fillId="0" borderId="20" xfId="0" applyFont="1" applyBorder="1"/>
    <xf numFmtId="2" fontId="3" fillId="0" borderId="4" xfId="0" applyNumberFormat="1" applyFont="1" applyBorder="1"/>
    <xf numFmtId="2" fontId="3" fillId="0" borderId="21" xfId="0" applyNumberFormat="1" applyFont="1" applyBorder="1"/>
    <xf numFmtId="9" fontId="2" fillId="2" borderId="0" xfId="2" applyFont="1" applyFill="1" applyAlignment="1">
      <alignment horizontal="center"/>
    </xf>
    <xf numFmtId="14" fontId="28" fillId="0" borderId="0" xfId="0" applyNumberFormat="1" applyFont="1"/>
    <xf numFmtId="2" fontId="28" fillId="0" borderId="0" xfId="0" applyNumberFormat="1" applyFont="1"/>
    <xf numFmtId="0" fontId="0" fillId="0" borderId="22" xfId="0" applyBorder="1"/>
    <xf numFmtId="0" fontId="29" fillId="0" borderId="23" xfId="0" applyFont="1" applyBorder="1" applyAlignment="1">
      <alignment horizontal="center"/>
    </xf>
    <xf numFmtId="0" fontId="29" fillId="0" borderId="23" xfId="0" applyFont="1" applyBorder="1" applyAlignment="1">
      <alignment horizontal="centerContinuous"/>
    </xf>
    <xf numFmtId="0" fontId="3" fillId="0" borderId="9" xfId="0" applyFont="1" applyBorder="1"/>
    <xf numFmtId="9" fontId="0" fillId="0" borderId="0" xfId="2" applyFont="1" applyFill="1"/>
    <xf numFmtId="0" fontId="17" fillId="3" borderId="24" xfId="0" applyFont="1" applyFill="1" applyBorder="1"/>
    <xf numFmtId="0" fontId="3" fillId="0" borderId="25" xfId="0" applyFont="1" applyBorder="1"/>
    <xf numFmtId="0" fontId="0" fillId="0" borderId="26" xfId="0" applyBorder="1"/>
    <xf numFmtId="0" fontId="3" fillId="0" borderId="27" xfId="0" applyFont="1" applyBorder="1"/>
    <xf numFmtId="0" fontId="3" fillId="0" borderId="28" xfId="0" applyFont="1" applyBorder="1"/>
    <xf numFmtId="14" fontId="0" fillId="0" borderId="0" xfId="0" applyNumberFormat="1"/>
    <xf numFmtId="14" fontId="29" fillId="0" borderId="0" xfId="0" applyNumberFormat="1" applyFont="1"/>
    <xf numFmtId="2" fontId="29" fillId="0" borderId="0" xfId="0" applyNumberFormat="1" applyFont="1"/>
    <xf numFmtId="2" fontId="30" fillId="0" borderId="0" xfId="0" applyNumberFormat="1" applyFont="1"/>
    <xf numFmtId="0" fontId="0" fillId="0" borderId="4" xfId="0" applyBorder="1"/>
    <xf numFmtId="168" fontId="0" fillId="0" borderId="4" xfId="0" applyNumberFormat="1" applyBorder="1"/>
    <xf numFmtId="168" fontId="0" fillId="0" borderId="5" xfId="0" applyNumberFormat="1" applyBorder="1"/>
    <xf numFmtId="172" fontId="0" fillId="0" borderId="0" xfId="0" applyNumberFormat="1"/>
    <xf numFmtId="8" fontId="0" fillId="0" borderId="5" xfId="0" applyNumberFormat="1" applyBorder="1"/>
    <xf numFmtId="174" fontId="0" fillId="0" borderId="5" xfId="0" applyNumberFormat="1" applyBorder="1"/>
    <xf numFmtId="174" fontId="0" fillId="0" borderId="0" xfId="0" applyNumberFormat="1"/>
    <xf numFmtId="174" fontId="3" fillId="0" borderId="5" xfId="0" applyNumberFormat="1" applyFont="1" applyBorder="1"/>
    <xf numFmtId="0" fontId="31" fillId="2" borderId="0" xfId="0" applyFont="1" applyFill="1" applyAlignment="1">
      <alignment horizontal="centerContinuous" vertical="center"/>
    </xf>
    <xf numFmtId="0" fontId="0" fillId="0" borderId="4" xfId="0" applyBorder="1" applyAlignment="1">
      <alignment horizontal="centerContinuous"/>
    </xf>
    <xf numFmtId="0" fontId="3" fillId="0" borderId="4" xfId="0" applyFont="1" applyBorder="1" applyAlignment="1">
      <alignment horizontal="centerContinuous"/>
    </xf>
    <xf numFmtId="10" fontId="3" fillId="0" borderId="19" xfId="0" applyNumberFormat="1" applyFont="1" applyBorder="1"/>
    <xf numFmtId="173" fontId="3" fillId="0" borderId="0" xfId="0" applyNumberFormat="1" applyFont="1"/>
    <xf numFmtId="170" fontId="3" fillId="0" borderId="0" xfId="0" applyNumberFormat="1" applyFont="1"/>
    <xf numFmtId="0" fontId="3" fillId="0" borderId="19" xfId="0" applyFont="1" applyBorder="1"/>
    <xf numFmtId="9" fontId="0" fillId="9" borderId="0" xfId="2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Alignment="1">
      <alignment wrapText="1"/>
    </xf>
    <xf numFmtId="0" fontId="25" fillId="6" borderId="9" xfId="0" applyFont="1" applyFill="1" applyBorder="1" applyAlignment="1">
      <alignment horizontal="left" vertical="center" indent="2"/>
    </xf>
    <xf numFmtId="0" fontId="25" fillId="6" borderId="9" xfId="0" applyFont="1" applyFill="1" applyBorder="1" applyAlignment="1">
      <alignment horizontal="right" vertical="center" wrapText="1"/>
    </xf>
    <xf numFmtId="0" fontId="26" fillId="7" borderId="9" xfId="0" applyFont="1" applyFill="1" applyBorder="1" applyAlignment="1">
      <alignment horizontal="left" vertical="center" indent="2"/>
    </xf>
    <xf numFmtId="0" fontId="27" fillId="7" borderId="9" xfId="4" applyFont="1" applyFill="1" applyBorder="1" applyAlignment="1">
      <alignment horizontal="left" vertical="center"/>
    </xf>
    <xf numFmtId="0" fontId="26" fillId="7" borderId="9" xfId="0" applyFont="1" applyFill="1" applyBorder="1" applyAlignment="1">
      <alignment horizontal="right" vertical="center" wrapText="1"/>
    </xf>
    <xf numFmtId="8" fontId="26" fillId="6" borderId="9" xfId="0" applyNumberFormat="1" applyFont="1" applyFill="1" applyBorder="1" applyAlignment="1">
      <alignment horizontal="right" vertical="center" wrapText="1"/>
    </xf>
    <xf numFmtId="174" fontId="26" fillId="6" borderId="9" xfId="0" applyNumberFormat="1" applyFont="1" applyFill="1" applyBorder="1" applyAlignment="1">
      <alignment horizontal="right" vertical="center" wrapText="1"/>
    </xf>
    <xf numFmtId="0" fontId="0" fillId="0" borderId="9" xfId="0" applyBorder="1"/>
    <xf numFmtId="2" fontId="0" fillId="0" borderId="9" xfId="0" applyNumberFormat="1" applyBorder="1"/>
    <xf numFmtId="10" fontId="0" fillId="0" borderId="9" xfId="0" applyNumberFormat="1" applyBorder="1"/>
    <xf numFmtId="0" fontId="26" fillId="6" borderId="9" xfId="0" applyFont="1" applyFill="1" applyBorder="1" applyAlignment="1">
      <alignment horizontal="left" vertical="center" indent="2"/>
    </xf>
    <xf numFmtId="0" fontId="27" fillId="6" borderId="9" xfId="4" applyFont="1" applyFill="1" applyBorder="1" applyAlignment="1">
      <alignment horizontal="left" vertical="center"/>
    </xf>
    <xf numFmtId="0" fontId="26" fillId="6" borderId="9" xfId="0" applyFont="1" applyFill="1" applyBorder="1" applyAlignment="1">
      <alignment horizontal="right" vertical="center" wrapText="1"/>
    </xf>
    <xf numFmtId="0" fontId="32" fillId="2" borderId="9" xfId="0" applyFont="1" applyFill="1" applyBorder="1" applyAlignment="1">
      <alignment horizontal="left" vertical="center" indent="2"/>
    </xf>
    <xf numFmtId="0" fontId="32" fillId="2" borderId="9" xfId="0" applyFont="1" applyFill="1" applyBorder="1" applyAlignment="1">
      <alignment horizontal="left" vertical="center"/>
    </xf>
    <xf numFmtId="0" fontId="32" fillId="2" borderId="9" xfId="0" applyFont="1" applyFill="1" applyBorder="1" applyAlignment="1">
      <alignment horizontal="right" vertical="center" wrapText="1"/>
    </xf>
    <xf numFmtId="8" fontId="32" fillId="2" borderId="9" xfId="0" applyNumberFormat="1" applyFont="1" applyFill="1" applyBorder="1" applyAlignment="1">
      <alignment horizontal="right" vertical="center" wrapText="1"/>
    </xf>
    <xf numFmtId="0" fontId="3" fillId="0" borderId="12" xfId="0" applyFont="1" applyBorder="1"/>
    <xf numFmtId="0" fontId="3" fillId="0" borderId="0" xfId="0" applyFont="1" applyAlignment="1">
      <alignment textRotation="90" wrapText="1"/>
    </xf>
    <xf numFmtId="0" fontId="0" fillId="0" borderId="16" xfId="0" applyBorder="1" applyAlignment="1">
      <alignment horizontal="justify"/>
    </xf>
    <xf numFmtId="0" fontId="0" fillId="0" borderId="17" xfId="0" applyBorder="1" applyAlignment="1">
      <alignment horizontal="justify"/>
    </xf>
    <xf numFmtId="0" fontId="0" fillId="0" borderId="18" xfId="0" applyBorder="1" applyAlignment="1">
      <alignment horizontal="justify"/>
    </xf>
    <xf numFmtId="0" fontId="0" fillId="0" borderId="19" xfId="0" applyBorder="1" applyAlignment="1">
      <alignment horizontal="justify"/>
    </xf>
    <xf numFmtId="0" fontId="0" fillId="0" borderId="20" xfId="0" applyBorder="1" applyAlignment="1">
      <alignment horizontal="justify"/>
    </xf>
    <xf numFmtId="0" fontId="0" fillId="0" borderId="21" xfId="0" applyBorder="1" applyAlignment="1">
      <alignment horizontal="justify"/>
    </xf>
    <xf numFmtId="0" fontId="0" fillId="0" borderId="0" xfId="0" applyAlignment="1">
      <alignment horizontal="distributed" vertical="justify"/>
    </xf>
  </cellXfs>
  <cellStyles count="5">
    <cellStyle name="Comma" xfId="1" builtinId="3"/>
    <cellStyle name="Hyperlink" xfId="4" builtinId="8"/>
    <cellStyle name="Normal" xfId="0" builtinId="0"/>
    <cellStyle name="Normal 2" xfId="3" xr:uid="{A5D559F4-2657-4775-8FAB-BADA5889A6D6}"/>
    <cellStyle name="Percent" xfId="2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uj8\Downloads\Alkem%20Lab.xlsx" TargetMode="External"/><Relationship Id="rId1" Type="http://schemas.openxmlformats.org/officeDocument/2006/relationships/externalLinkPath" Target="Alkem%20La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/>
      <sheetData sheetId="3"/>
      <sheetData sheetId="4"/>
      <sheetData sheetId="5">
        <row r="41">
          <cell r="B41">
            <v>45199</v>
          </cell>
          <cell r="C41">
            <v>45291</v>
          </cell>
          <cell r="D41">
            <v>45382</v>
          </cell>
          <cell r="E41">
            <v>45473</v>
          </cell>
          <cell r="F41">
            <v>45565</v>
          </cell>
          <cell r="G41">
            <v>45657</v>
          </cell>
          <cell r="H41">
            <v>45747</v>
          </cell>
          <cell r="I41">
            <v>45838</v>
          </cell>
          <cell r="J41">
            <v>45930</v>
          </cell>
          <cell r="K41">
            <v>46022</v>
          </cell>
        </row>
        <row r="42">
          <cell r="B42">
            <v>3440.17</v>
          </cell>
          <cell r="C42">
            <v>3323.87</v>
          </cell>
          <cell r="D42">
            <v>2935.82</v>
          </cell>
          <cell r="E42">
            <v>3031.82</v>
          </cell>
          <cell r="F42">
            <v>3414.67</v>
          </cell>
          <cell r="G42">
            <v>3374.28</v>
          </cell>
          <cell r="H42">
            <v>3143.75</v>
          </cell>
          <cell r="I42">
            <v>3371.14</v>
          </cell>
          <cell r="J42">
            <v>4000.99</v>
          </cell>
          <cell r="K42">
            <v>3736.82</v>
          </cell>
        </row>
        <row r="43">
          <cell r="B43">
            <v>2693.44</v>
          </cell>
          <cell r="C43">
            <v>2616.2800000000002</v>
          </cell>
          <cell r="D43">
            <v>2533.84</v>
          </cell>
          <cell r="E43">
            <v>2423.1799999999998</v>
          </cell>
          <cell r="F43">
            <v>2661.84</v>
          </cell>
          <cell r="G43">
            <v>2614.89</v>
          </cell>
          <cell r="H43">
            <v>2752.46</v>
          </cell>
          <cell r="I43">
            <v>2632.09</v>
          </cell>
          <cell r="J43">
            <v>3080.22</v>
          </cell>
          <cell r="K43">
            <v>2908.82</v>
          </cell>
        </row>
        <row r="44">
          <cell r="B44">
            <v>5.53</v>
          </cell>
          <cell r="C44">
            <v>42.33</v>
          </cell>
          <cell r="D44">
            <v>75.650000000000006</v>
          </cell>
          <cell r="E44">
            <v>120.31</v>
          </cell>
          <cell r="F44">
            <v>134.47999999999999</v>
          </cell>
          <cell r="G44">
            <v>92.99</v>
          </cell>
          <cell r="H44">
            <v>145.96</v>
          </cell>
          <cell r="I44">
            <v>149.41999999999999</v>
          </cell>
          <cell r="J44">
            <v>103.69</v>
          </cell>
          <cell r="K44">
            <v>90.31</v>
          </cell>
        </row>
        <row r="45">
          <cell r="B45">
            <v>73.900000000000006</v>
          </cell>
          <cell r="C45">
            <v>69.56</v>
          </cell>
          <cell r="D45">
            <v>83.43</v>
          </cell>
          <cell r="E45">
            <v>80.48</v>
          </cell>
          <cell r="F45">
            <v>78.91</v>
          </cell>
          <cell r="G45">
            <v>85.28</v>
          </cell>
          <cell r="H45">
            <v>112.49</v>
          </cell>
          <cell r="I45">
            <v>87.68</v>
          </cell>
          <cell r="J45">
            <v>93.61</v>
          </cell>
          <cell r="K45">
            <v>95.01</v>
          </cell>
        </row>
        <row r="46">
          <cell r="B46">
            <v>30.32</v>
          </cell>
          <cell r="C46">
            <v>25.46</v>
          </cell>
          <cell r="D46">
            <v>26.86</v>
          </cell>
          <cell r="E46">
            <v>29.11</v>
          </cell>
          <cell r="F46">
            <v>28.14</v>
          </cell>
          <cell r="G46">
            <v>36.03</v>
          </cell>
          <cell r="H46">
            <v>28.42</v>
          </cell>
          <cell r="I46">
            <v>29.78</v>
          </cell>
          <cell r="J46">
            <v>35.020000000000003</v>
          </cell>
          <cell r="K46">
            <v>42.1</v>
          </cell>
        </row>
        <row r="47">
          <cell r="B47">
            <v>648.04</v>
          </cell>
          <cell r="C47">
            <v>654.9</v>
          </cell>
          <cell r="D47">
            <v>367.34</v>
          </cell>
          <cell r="E47">
            <v>619.36</v>
          </cell>
          <cell r="F47">
            <v>780.26</v>
          </cell>
          <cell r="G47">
            <v>731.07</v>
          </cell>
          <cell r="H47">
            <v>396.34</v>
          </cell>
          <cell r="I47">
            <v>771.01</v>
          </cell>
          <cell r="J47">
            <v>895.83</v>
          </cell>
          <cell r="K47">
            <v>781.2</v>
          </cell>
        </row>
        <row r="48">
          <cell r="B48">
            <v>33.15</v>
          </cell>
          <cell r="C48">
            <v>50.62</v>
          </cell>
          <cell r="D48">
            <v>62.86</v>
          </cell>
          <cell r="E48">
            <v>69.12</v>
          </cell>
          <cell r="F48">
            <v>78.3</v>
          </cell>
          <cell r="G48">
            <v>90.28</v>
          </cell>
          <cell r="H48">
            <v>73.33</v>
          </cell>
          <cell r="I48">
            <v>102.69</v>
          </cell>
          <cell r="J48">
            <v>116.23</v>
          </cell>
          <cell r="K48">
            <v>127.67</v>
          </cell>
        </row>
        <row r="49">
          <cell r="B49">
            <v>620.52</v>
          </cell>
          <cell r="C49">
            <v>594.96</v>
          </cell>
          <cell r="D49">
            <v>293.56</v>
          </cell>
          <cell r="E49">
            <v>545.16</v>
          </cell>
          <cell r="F49">
            <v>688.64</v>
          </cell>
          <cell r="G49">
            <v>625.82000000000005</v>
          </cell>
          <cell r="H49">
            <v>305.86</v>
          </cell>
          <cell r="I49">
            <v>664.26</v>
          </cell>
          <cell r="J49">
            <v>765.06</v>
          </cell>
          <cell r="K49">
            <v>636.02</v>
          </cell>
        </row>
        <row r="50">
          <cell r="B50">
            <v>746.73</v>
          </cell>
          <cell r="C50">
            <v>707.59</v>
          </cell>
          <cell r="D50">
            <v>401.98</v>
          </cell>
          <cell r="E50">
            <v>608.64</v>
          </cell>
          <cell r="F50">
            <v>752.83</v>
          </cell>
          <cell r="G50">
            <v>759.39</v>
          </cell>
          <cell r="H50">
            <v>391.29</v>
          </cell>
          <cell r="I50">
            <v>739.05</v>
          </cell>
          <cell r="J50">
            <v>920.77</v>
          </cell>
          <cell r="K50">
            <v>828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uj patel" id="{2BCEDF39-EFE5-4636-B098-B308280A2099}" userId="e2f8a59adb5d4169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0136CD-1B16-47DB-BF09-B3D138FC05A4}" name="Quarters" displayName="Quarters" ref="D171:Q182" headerRowCount="0" totalsRowShown="0" headerRowDxfId="14">
  <tableColumns count="14">
    <tableColumn id="1" xr3:uid="{00000000-0010-0000-0100-000001000000}" name="Column1" headerRowDxfId="13"/>
    <tableColumn id="2" xr3:uid="{00000000-0010-0000-0100-000002000000}" name="Column2" headerRowDxfId="12"/>
    <tableColumn id="3" xr3:uid="{00000000-0010-0000-0100-000003000000}" name="Column3" headerRowDxfId="11"/>
    <tableColumn id="4" xr3:uid="{00000000-0010-0000-0100-000004000000}" name="Column4" headerRowDxfId="10"/>
    <tableColumn id="5" xr3:uid="{00000000-0010-0000-0100-000005000000}" name="Column5" headerRowDxfId="9"/>
    <tableColumn id="6" xr3:uid="{00000000-0010-0000-0100-000006000000}" name="Column6" headerRowDxfId="8"/>
    <tableColumn id="7" xr3:uid="{00000000-0010-0000-0100-000007000000}" name="Column7" headerRowDxfId="7"/>
    <tableColumn id="8" xr3:uid="{00000000-0010-0000-0100-000008000000}" name="Column8" headerRowDxfId="6"/>
    <tableColumn id="9" xr3:uid="{00000000-0010-0000-0100-000009000000}" name="Column9" headerRowDxfId="5"/>
    <tableColumn id="10" xr3:uid="{00000000-0010-0000-0100-00000A000000}" name="Column10" headerRowDxfId="4"/>
    <tableColumn id="11" xr3:uid="{00000000-0010-0000-0100-00000B000000}" name="Column11" headerRowDxfId="3"/>
    <tableColumn id="12" xr3:uid="{B6A5320C-EE40-40FE-AE9E-FDB5E8144235}" name="Column12" headerRowDxfId="2"/>
    <tableColumn id="13" xr3:uid="{767D0939-A6E0-45DE-B5DF-60FC16DAF9E5}" name="Column13" headerRowDxfId="1"/>
    <tableColumn id="14" xr3:uid="{55D83416-A3F6-46D8-9A58-ADB86A4ADCAE}" name="Column14" headerRow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95" dT="2026-02-23T18:45:53.27" personId="{2BCEDF39-EFE5-4636-B098-B308280A2099}" id="{E00E6E33-ACD3-4653-B8CA-BF7910B708EC}">
    <text xml:space="preserve">Historical Income statement point8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reener.in/company/SUNPHARMA/consolidated/" TargetMode="External"/><Relationship Id="rId3" Type="http://schemas.openxmlformats.org/officeDocument/2006/relationships/hyperlink" Target="https://www.screener.in/company/LUPIN/consolidated/" TargetMode="External"/><Relationship Id="rId7" Type="http://schemas.openxmlformats.org/officeDocument/2006/relationships/hyperlink" Target="https://www.screener.in/company/DIVISLAB/consolidated/" TargetMode="External"/><Relationship Id="rId2" Type="http://schemas.openxmlformats.org/officeDocument/2006/relationships/hyperlink" Target="https://www.screener.in/company/ZYDUSLIFE/consolidated/" TargetMode="External"/><Relationship Id="rId1" Type="http://schemas.openxmlformats.org/officeDocument/2006/relationships/hyperlink" Target="https://www.screener.in/company/ALKEM/consolidated/" TargetMode="External"/><Relationship Id="rId6" Type="http://schemas.openxmlformats.org/officeDocument/2006/relationships/hyperlink" Target="https://www.screener.in/company/TORNTPHARM/consolidated/" TargetMode="External"/><Relationship Id="rId5" Type="http://schemas.openxmlformats.org/officeDocument/2006/relationships/hyperlink" Target="https://www.screener.in/company/DRREDDY/consolidated/" TargetMode="External"/><Relationship Id="rId4" Type="http://schemas.openxmlformats.org/officeDocument/2006/relationships/hyperlink" Target="https://www.screener.in/company/CIPLA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576B-25C0-4233-8891-3798DA7DCE81}">
  <dimension ref="A1:H7"/>
  <sheetViews>
    <sheetView showGridLines="0" workbookViewId="0">
      <selection activeCell="D14" sqref="D14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</cols>
  <sheetData>
    <row r="1" spans="1:8" x14ac:dyDescent="0.3">
      <c r="A1" s="1" t="s">
        <v>0</v>
      </c>
    </row>
    <row r="2" spans="1:8" x14ac:dyDescent="0.3">
      <c r="B2" s="1" t="s">
        <v>1</v>
      </c>
      <c r="G2" t="s">
        <v>7</v>
      </c>
    </row>
    <row r="3" spans="1:8" x14ac:dyDescent="0.3">
      <c r="C3" s="1" t="s">
        <v>1</v>
      </c>
    </row>
    <row r="4" spans="1:8" x14ac:dyDescent="0.3">
      <c r="B4" s="1" t="s">
        <v>5</v>
      </c>
    </row>
    <row r="5" spans="1:8" x14ac:dyDescent="0.3">
      <c r="D5" t="s">
        <v>2</v>
      </c>
      <c r="E5" t="s">
        <v>3</v>
      </c>
      <c r="F5" t="s">
        <v>6</v>
      </c>
      <c r="H5" t="s">
        <v>8</v>
      </c>
    </row>
    <row r="7" spans="1:8" x14ac:dyDescent="0.3">
      <c r="B7" s="1">
        <v>7.4999999999999997E-3</v>
      </c>
      <c r="D7" t="s">
        <v>4</v>
      </c>
      <c r="E7">
        <v>12</v>
      </c>
      <c r="F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104F-FCA9-42A5-92C2-5F3496E28E4C}">
  <dimension ref="A1:Q182"/>
  <sheetViews>
    <sheetView showGridLines="0" zoomScale="78" zoomScaleNormal="10" workbookViewId="0">
      <selection activeCell="A66" sqref="A66:XFD66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  <col min="8" max="8" width="11.88671875" bestFit="1" customWidth="1"/>
    <col min="9" max="9" width="12.77734375" bestFit="1" customWidth="1"/>
    <col min="10" max="10" width="11.88671875" bestFit="1" customWidth="1"/>
    <col min="11" max="12" width="13.5546875" bestFit="1" customWidth="1"/>
  </cols>
  <sheetData>
    <row r="1" spans="1:14" ht="32.4" x14ac:dyDescent="0.6">
      <c r="A1" s="9" t="s">
        <v>9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</row>
    <row r="2" spans="1:14" ht="19.8" x14ac:dyDescent="0.4">
      <c r="A2" s="10" t="s">
        <v>10</v>
      </c>
      <c r="B2" s="6"/>
      <c r="C2" s="6"/>
      <c r="D2" s="7"/>
      <c r="E2" s="7"/>
      <c r="F2" s="7"/>
      <c r="G2" s="7"/>
      <c r="H2" s="7"/>
      <c r="I2" s="7"/>
      <c r="J2" s="7"/>
      <c r="K2" s="7"/>
      <c r="L2" s="7"/>
    </row>
    <row r="4" spans="1:14" x14ac:dyDescent="0.3">
      <c r="A4" s="2" t="s">
        <v>162</v>
      </c>
      <c r="B4" s="2"/>
      <c r="C4" s="2"/>
      <c r="D4" s="3"/>
      <c r="E4" s="3"/>
      <c r="F4" s="3"/>
      <c r="G4" s="3"/>
      <c r="H4" s="3">
        <v>2021</v>
      </c>
      <c r="I4" s="3">
        <f>H4+1</f>
        <v>2022</v>
      </c>
      <c r="J4" s="3">
        <f>I4+1</f>
        <v>2023</v>
      </c>
      <c r="K4" s="3">
        <f>J4+1</f>
        <v>2024</v>
      </c>
      <c r="L4" s="3">
        <f>K4+1</f>
        <v>2025</v>
      </c>
      <c r="M4" s="4"/>
      <c r="N4" s="4"/>
    </row>
    <row r="5" spans="1:14" x14ac:dyDescent="0.3">
      <c r="D5" t="s">
        <v>17</v>
      </c>
      <c r="H5" s="18"/>
      <c r="I5" s="18"/>
      <c r="J5" s="18"/>
      <c r="K5" s="18"/>
      <c r="L5" s="18"/>
    </row>
    <row r="6" spans="1:14" x14ac:dyDescent="0.3">
      <c r="D6" t="s">
        <v>18</v>
      </c>
      <c r="H6" s="18">
        <v>88650.1</v>
      </c>
      <c r="I6" s="18">
        <v>106341.9</v>
      </c>
      <c r="J6" s="18">
        <v>115992.6</v>
      </c>
      <c r="K6" s="18">
        <v>126675.8</v>
      </c>
      <c r="L6" s="18">
        <v>129645.2</v>
      </c>
    </row>
    <row r="7" spans="1:14" x14ac:dyDescent="0.3">
      <c r="D7" t="s">
        <v>19</v>
      </c>
      <c r="H7" s="18">
        <v>2332.1</v>
      </c>
      <c r="I7" s="18">
        <v>1626.5</v>
      </c>
      <c r="J7" s="18">
        <v>2160.8000000000002</v>
      </c>
      <c r="K7" s="18">
        <v>3108.4</v>
      </c>
      <c r="L7" s="18">
        <v>4937.3999999999996</v>
      </c>
    </row>
    <row r="8" spans="1:14" x14ac:dyDescent="0.3">
      <c r="D8" s="11" t="s">
        <v>20</v>
      </c>
      <c r="E8" s="11"/>
      <c r="F8" s="11"/>
      <c r="G8" s="11"/>
      <c r="H8" s="19">
        <v>90982.2</v>
      </c>
      <c r="I8" s="19">
        <v>107968.4</v>
      </c>
      <c r="J8" s="19">
        <v>118153.4</v>
      </c>
      <c r="K8" s="19">
        <v>129784.2</v>
      </c>
      <c r="L8" s="19">
        <v>134582.6</v>
      </c>
    </row>
    <row r="9" spans="1:14" x14ac:dyDescent="0.3">
      <c r="D9" t="s">
        <v>21</v>
      </c>
      <c r="H9" s="18"/>
      <c r="I9" s="18"/>
      <c r="J9" s="18"/>
      <c r="K9" s="18"/>
      <c r="L9" s="18"/>
    </row>
    <row r="10" spans="1:14" x14ac:dyDescent="0.3">
      <c r="D10" t="s">
        <v>22</v>
      </c>
      <c r="H10" s="18">
        <v>23945.4</v>
      </c>
      <c r="I10" s="18">
        <v>32260.6</v>
      </c>
      <c r="J10" s="18">
        <v>30569.200000000001</v>
      </c>
      <c r="K10" s="18">
        <v>32945.9</v>
      </c>
      <c r="L10" s="18">
        <v>34403.699999999997</v>
      </c>
    </row>
    <row r="11" spans="1:14" x14ac:dyDescent="0.3">
      <c r="D11" t="s">
        <v>23</v>
      </c>
      <c r="H11" s="18">
        <v>14377.6</v>
      </c>
      <c r="I11" s="18">
        <v>14897.1</v>
      </c>
      <c r="J11" s="18">
        <v>13875.5</v>
      </c>
      <c r="K11" s="18">
        <v>16288.7</v>
      </c>
      <c r="L11" s="18">
        <v>15140.2</v>
      </c>
    </row>
    <row r="12" spans="1:14" x14ac:dyDescent="0.3">
      <c r="D12" t="s">
        <v>24</v>
      </c>
      <c r="H12" s="18">
        <v>-3338.4</v>
      </c>
      <c r="I12" s="18">
        <v>-5354.8</v>
      </c>
      <c r="J12" s="18">
        <v>4623.7</v>
      </c>
      <c r="K12" s="18">
        <v>141.19999999999999</v>
      </c>
      <c r="L12" s="18">
        <v>-1901.3</v>
      </c>
    </row>
    <row r="13" spans="1:14" x14ac:dyDescent="0.3">
      <c r="D13" t="s">
        <v>25</v>
      </c>
      <c r="H13" s="18">
        <v>16210.3</v>
      </c>
      <c r="I13" s="18">
        <v>19627.099999999999</v>
      </c>
      <c r="J13" s="18">
        <v>21313.5</v>
      </c>
      <c r="K13" s="18">
        <v>22010.1</v>
      </c>
      <c r="L13" s="18">
        <v>24539.200000000001</v>
      </c>
    </row>
    <row r="14" spans="1:14" x14ac:dyDescent="0.3">
      <c r="D14" t="s">
        <v>26</v>
      </c>
      <c r="H14" s="18">
        <v>589.20000000000005</v>
      </c>
      <c r="I14" s="18">
        <v>523.70000000000005</v>
      </c>
      <c r="J14" s="18">
        <v>1073.5999999999999</v>
      </c>
      <c r="K14" s="18">
        <v>1124.0999999999999</v>
      </c>
      <c r="L14" s="18">
        <v>1217</v>
      </c>
    </row>
    <row r="15" spans="1:14" x14ac:dyDescent="0.3">
      <c r="D15" t="s">
        <v>112</v>
      </c>
      <c r="H15" s="18">
        <v>2745.8</v>
      </c>
      <c r="I15" s="18">
        <v>3039.6</v>
      </c>
      <c r="J15" s="18">
        <v>3104.2</v>
      </c>
      <c r="K15" s="18">
        <v>2993</v>
      </c>
      <c r="L15" s="18">
        <v>3571.6</v>
      </c>
    </row>
    <row r="16" spans="1:14" x14ac:dyDescent="0.3">
      <c r="D16" t="s">
        <v>27</v>
      </c>
      <c r="H16" s="18">
        <v>18031.3</v>
      </c>
      <c r="I16" s="18">
        <v>24382.7</v>
      </c>
      <c r="J16" s="18">
        <v>29516.2</v>
      </c>
      <c r="K16" s="18">
        <v>32835</v>
      </c>
      <c r="L16" s="18">
        <v>32341.9</v>
      </c>
    </row>
    <row r="17" spans="4:12" x14ac:dyDescent="0.3">
      <c r="D17" s="11" t="s">
        <v>13</v>
      </c>
      <c r="E17" s="11"/>
      <c r="F17" s="11"/>
      <c r="G17" s="11"/>
      <c r="H17" s="19">
        <v>72561.2</v>
      </c>
      <c r="I17" s="19">
        <v>89376</v>
      </c>
      <c r="J17" s="19">
        <v>104075.9</v>
      </c>
      <c r="K17" s="19">
        <v>108338</v>
      </c>
      <c r="L17" s="19">
        <v>109312.3</v>
      </c>
    </row>
    <row r="18" spans="4:12" x14ac:dyDescent="0.3">
      <c r="D18" t="s">
        <v>28</v>
      </c>
      <c r="H18" s="18">
        <v>18421</v>
      </c>
      <c r="I18" s="18">
        <v>18592.400000000001</v>
      </c>
      <c r="J18" s="18">
        <v>14077.5</v>
      </c>
      <c r="K18" s="18">
        <v>21446.2</v>
      </c>
      <c r="L18" s="18">
        <v>25270.3</v>
      </c>
    </row>
    <row r="19" spans="4:12" x14ac:dyDescent="0.3">
      <c r="D19" t="s">
        <v>29</v>
      </c>
      <c r="H19" s="18"/>
      <c r="I19" s="18">
        <v>-149.6</v>
      </c>
      <c r="J19" s="18">
        <v>-1029.8</v>
      </c>
      <c r="K19" s="18">
        <v>-1214.9000000000001</v>
      </c>
      <c r="L19" s="18"/>
    </row>
    <row r="20" spans="4:12" x14ac:dyDescent="0.3">
      <c r="D20" s="11" t="s">
        <v>30</v>
      </c>
      <c r="E20" s="11"/>
      <c r="F20" s="11"/>
      <c r="G20" s="11"/>
      <c r="H20" s="19">
        <v>18421</v>
      </c>
      <c r="I20" s="19">
        <v>18442.8</v>
      </c>
      <c r="J20" s="19">
        <v>13047.7</v>
      </c>
      <c r="K20" s="19">
        <v>20231.3</v>
      </c>
      <c r="L20" s="19">
        <v>25270.3</v>
      </c>
    </row>
    <row r="21" spans="4:12" x14ac:dyDescent="0.3">
      <c r="D21" t="s">
        <v>31</v>
      </c>
      <c r="H21" s="18"/>
      <c r="I21" s="18"/>
      <c r="J21" s="18"/>
      <c r="K21" s="18"/>
      <c r="L21" s="18"/>
    </row>
    <row r="22" spans="4:12" x14ac:dyDescent="0.3">
      <c r="D22" t="s">
        <v>32</v>
      </c>
      <c r="H22" s="18">
        <v>3965.3</v>
      </c>
      <c r="I22" s="18">
        <v>3619.8</v>
      </c>
      <c r="J22" s="18">
        <v>2739</v>
      </c>
      <c r="K22" s="18">
        <v>4222.8</v>
      </c>
      <c r="L22" s="18">
        <v>5236</v>
      </c>
    </row>
    <row r="23" spans="4:12" x14ac:dyDescent="0.3">
      <c r="D23" t="s">
        <v>33</v>
      </c>
      <c r="H23" s="18">
        <v>-1722</v>
      </c>
      <c r="I23" s="18">
        <v>-1980.2</v>
      </c>
      <c r="J23" s="18">
        <v>240.6</v>
      </c>
      <c r="K23" s="18">
        <v>-2106.1</v>
      </c>
      <c r="L23" s="18">
        <v>-2125.6999999999998</v>
      </c>
    </row>
    <row r="24" spans="4:12" x14ac:dyDescent="0.3">
      <c r="D24" s="72" t="s">
        <v>14</v>
      </c>
      <c r="E24" s="72"/>
      <c r="F24" s="72"/>
      <c r="G24" s="72"/>
      <c r="H24" s="73">
        <v>2243.3000000000002</v>
      </c>
      <c r="I24" s="73">
        <v>1639.6</v>
      </c>
      <c r="J24" s="73">
        <v>2979.6</v>
      </c>
      <c r="K24" s="73">
        <v>2116.6999999999998</v>
      </c>
      <c r="L24" s="73">
        <v>3110.3</v>
      </c>
    </row>
    <row r="25" spans="4:12" x14ac:dyDescent="0.3">
      <c r="D25" t="s">
        <v>15</v>
      </c>
      <c r="H25" s="18"/>
      <c r="I25" s="18"/>
      <c r="J25" s="18"/>
      <c r="K25" s="18"/>
      <c r="L25" s="18">
        <v>-6.2</v>
      </c>
    </row>
    <row r="26" spans="4:12" x14ac:dyDescent="0.3">
      <c r="D26" s="11" t="s">
        <v>48</v>
      </c>
      <c r="E26" s="11"/>
      <c r="F26" s="11"/>
      <c r="G26" s="11"/>
      <c r="H26" s="19">
        <v>16177.7</v>
      </c>
      <c r="I26" s="19">
        <v>16803.2</v>
      </c>
      <c r="J26" s="19">
        <v>10068.1</v>
      </c>
      <c r="K26" s="19">
        <v>18114.599999999999</v>
      </c>
      <c r="L26" s="19">
        <v>22153.8</v>
      </c>
    </row>
    <row r="27" spans="4:12" x14ac:dyDescent="0.3">
      <c r="D27" t="s">
        <v>34</v>
      </c>
      <c r="H27" s="18">
        <v>327.5</v>
      </c>
      <c r="I27" s="18">
        <v>347</v>
      </c>
      <c r="J27" s="18">
        <v>226.4</v>
      </c>
      <c r="K27" s="18">
        <v>156.9</v>
      </c>
      <c r="L27" s="18">
        <v>499</v>
      </c>
    </row>
    <row r="28" spans="4:12" x14ac:dyDescent="0.3">
      <c r="D28" t="s">
        <v>35</v>
      </c>
      <c r="H28" s="18">
        <v>15850.2</v>
      </c>
      <c r="I28" s="18">
        <v>16456.2</v>
      </c>
      <c r="J28" s="18">
        <v>9841.7000000000007</v>
      </c>
      <c r="K28" s="18">
        <v>17957.7</v>
      </c>
      <c r="L28" s="18">
        <v>21654.799999999999</v>
      </c>
    </row>
    <row r="29" spans="4:12" x14ac:dyDescent="0.3">
      <c r="D29" t="s">
        <v>36</v>
      </c>
      <c r="H29" s="18"/>
      <c r="I29" s="18"/>
      <c r="J29" s="18"/>
      <c r="K29" s="18"/>
      <c r="L29" s="18"/>
    </row>
    <row r="30" spans="4:12" x14ac:dyDescent="0.3">
      <c r="D30" t="s">
        <v>37</v>
      </c>
      <c r="H30" s="18">
        <v>-89.2</v>
      </c>
      <c r="I30" s="18">
        <v>-90.9</v>
      </c>
      <c r="J30" s="18">
        <v>-48.7</v>
      </c>
      <c r="K30" s="18">
        <v>-93.4</v>
      </c>
      <c r="L30" s="18">
        <v>-218.1</v>
      </c>
    </row>
    <row r="31" spans="4:12" x14ac:dyDescent="0.3">
      <c r="D31" t="s">
        <v>38</v>
      </c>
      <c r="H31" s="18">
        <v>29.9</v>
      </c>
      <c r="I31" s="18">
        <v>33.200000000000003</v>
      </c>
      <c r="J31" s="18">
        <v>16.100000000000001</v>
      </c>
      <c r="K31" s="18">
        <v>29.8</v>
      </c>
      <c r="L31" s="18">
        <v>72.099999999999994</v>
      </c>
    </row>
    <row r="32" spans="4:12" x14ac:dyDescent="0.3">
      <c r="D32" t="s">
        <v>39</v>
      </c>
      <c r="H32" s="18">
        <v>-283.7</v>
      </c>
      <c r="I32" s="18">
        <v>399.1</v>
      </c>
      <c r="J32" s="18">
        <v>1181.5999999999999</v>
      </c>
      <c r="K32" s="18">
        <v>264</v>
      </c>
      <c r="L32" s="18">
        <v>343.2</v>
      </c>
    </row>
    <row r="33" spans="1:12" x14ac:dyDescent="0.3">
      <c r="D33" t="s">
        <v>40</v>
      </c>
      <c r="H33" s="18"/>
      <c r="I33" s="18"/>
      <c r="J33" s="18">
        <v>0</v>
      </c>
      <c r="K33" s="18">
        <v>0</v>
      </c>
      <c r="L33" s="18">
        <v>0</v>
      </c>
    </row>
    <row r="34" spans="1:12" x14ac:dyDescent="0.3">
      <c r="D34" t="s">
        <v>41</v>
      </c>
      <c r="H34" s="18">
        <v>-343</v>
      </c>
      <c r="I34" s="18">
        <v>341.4</v>
      </c>
      <c r="J34" s="18">
        <v>1149</v>
      </c>
      <c r="K34" s="18">
        <v>200.4</v>
      </c>
      <c r="L34" s="18">
        <v>197.2</v>
      </c>
    </row>
    <row r="35" spans="1:12" x14ac:dyDescent="0.3">
      <c r="D35" t="s">
        <v>42</v>
      </c>
      <c r="H35" s="18">
        <v>-3.4</v>
      </c>
      <c r="I35" s="18">
        <v>-4.0999999999999996</v>
      </c>
      <c r="J35" s="18">
        <v>-4.0999999999999996</v>
      </c>
      <c r="K35" s="18">
        <v>-6.1</v>
      </c>
      <c r="L35" s="18">
        <v>-10.3</v>
      </c>
    </row>
    <row r="36" spans="1:12" x14ac:dyDescent="0.3">
      <c r="D36" t="s">
        <v>43</v>
      </c>
      <c r="H36" s="18">
        <v>-339.6</v>
      </c>
      <c r="I36" s="18">
        <v>345.5</v>
      </c>
      <c r="J36" s="18">
        <v>1153.0999999999999</v>
      </c>
      <c r="K36" s="18">
        <v>206.5</v>
      </c>
      <c r="L36" s="18">
        <v>207.5</v>
      </c>
    </row>
    <row r="37" spans="1:12" x14ac:dyDescent="0.3">
      <c r="D37" s="11" t="s">
        <v>44</v>
      </c>
      <c r="E37" s="11"/>
      <c r="F37" s="11"/>
      <c r="G37" s="11"/>
      <c r="H37" s="19">
        <v>15834.7</v>
      </c>
      <c r="I37" s="19">
        <v>17144.599999999999</v>
      </c>
      <c r="J37" s="19">
        <v>11217.1</v>
      </c>
      <c r="K37" s="19">
        <v>18315</v>
      </c>
      <c r="L37" s="19">
        <v>22351</v>
      </c>
    </row>
    <row r="38" spans="1:12" x14ac:dyDescent="0.3">
      <c r="D38" t="s">
        <v>46</v>
      </c>
      <c r="H38" s="18">
        <v>15510.6</v>
      </c>
      <c r="I38" s="18">
        <v>16801.7</v>
      </c>
      <c r="J38" s="18">
        <v>10994.8</v>
      </c>
      <c r="K38" s="18">
        <v>18164.2</v>
      </c>
      <c r="L38" s="18">
        <v>21862.3</v>
      </c>
    </row>
    <row r="39" spans="1:12" x14ac:dyDescent="0.3">
      <c r="D39" t="s">
        <v>45</v>
      </c>
      <c r="H39" s="18">
        <v>324.10000000000002</v>
      </c>
      <c r="I39" s="18">
        <v>342.9</v>
      </c>
      <c r="J39" s="18">
        <v>222.3</v>
      </c>
      <c r="K39" s="18">
        <v>150.80000000000001</v>
      </c>
      <c r="L39" s="18">
        <v>488.7</v>
      </c>
    </row>
    <row r="40" spans="1:12" x14ac:dyDescent="0.3">
      <c r="D40" t="s">
        <v>47</v>
      </c>
      <c r="H40" s="18"/>
      <c r="I40" s="18"/>
      <c r="J40" s="18"/>
      <c r="K40" s="18"/>
      <c r="L40" s="18"/>
    </row>
    <row r="41" spans="1:12" x14ac:dyDescent="0.3">
      <c r="D41" t="s">
        <v>16</v>
      </c>
      <c r="H41" s="18">
        <v>132.57</v>
      </c>
      <c r="I41" s="18">
        <v>137.63</v>
      </c>
      <c r="J41" s="18">
        <v>82.31</v>
      </c>
      <c r="K41" s="18">
        <v>150.19</v>
      </c>
      <c r="L41" s="18">
        <v>181.11</v>
      </c>
    </row>
    <row r="42" spans="1:12" x14ac:dyDescent="0.3">
      <c r="H42" s="18"/>
      <c r="I42" s="18"/>
      <c r="J42" s="18"/>
      <c r="K42" s="18"/>
      <c r="L42" s="18"/>
    </row>
    <row r="43" spans="1:12" x14ac:dyDescent="0.3">
      <c r="A43" s="2" t="s">
        <v>161</v>
      </c>
      <c r="B43" s="2"/>
      <c r="C43" s="2"/>
      <c r="D43" s="3"/>
      <c r="E43" s="3"/>
      <c r="F43" s="3"/>
      <c r="G43" s="3"/>
      <c r="H43" s="3">
        <v>2021</v>
      </c>
      <c r="I43" s="3">
        <f>H43+1</f>
        <v>2022</v>
      </c>
      <c r="J43" s="3">
        <f>I43+1</f>
        <v>2023</v>
      </c>
      <c r="K43" s="3">
        <f>J43+1</f>
        <v>2024</v>
      </c>
      <c r="L43" s="3">
        <f>K43+1</f>
        <v>2025</v>
      </c>
    </row>
    <row r="44" spans="1:12" ht="15.6" x14ac:dyDescent="0.3">
      <c r="D44" s="15" t="s">
        <v>2</v>
      </c>
      <c r="H44" s="20"/>
      <c r="I44" s="20"/>
      <c r="J44" s="20"/>
      <c r="K44" s="20"/>
      <c r="L44" s="20"/>
    </row>
    <row r="45" spans="1:12" ht="15.6" x14ac:dyDescent="0.3">
      <c r="D45" s="15" t="s">
        <v>107</v>
      </c>
      <c r="H45" s="18"/>
      <c r="I45" s="18"/>
      <c r="J45" s="18"/>
      <c r="K45" s="18"/>
      <c r="L45" s="18"/>
    </row>
    <row r="46" spans="1:12" ht="15.6" x14ac:dyDescent="0.3">
      <c r="D46" s="15" t="s">
        <v>106</v>
      </c>
      <c r="H46" s="18"/>
      <c r="I46" s="18"/>
      <c r="J46" s="18"/>
      <c r="K46" s="18"/>
      <c r="L46" s="18"/>
    </row>
    <row r="47" spans="1:12" x14ac:dyDescent="0.3">
      <c r="D47" t="s">
        <v>105</v>
      </c>
      <c r="H47" s="18">
        <v>22339.3</v>
      </c>
      <c r="I47" s="18">
        <v>22871</v>
      </c>
      <c r="J47" s="18">
        <v>20654</v>
      </c>
      <c r="K47" s="18">
        <v>21614.6</v>
      </c>
      <c r="L47" s="18">
        <v>20639.3</v>
      </c>
    </row>
    <row r="48" spans="1:12" x14ac:dyDescent="0.3">
      <c r="D48" t="s">
        <v>104</v>
      </c>
      <c r="H48" s="18"/>
      <c r="I48" s="18"/>
      <c r="J48" s="18">
        <v>1378.6</v>
      </c>
      <c r="K48" s="18">
        <v>2471.6999999999998</v>
      </c>
      <c r="L48" s="18">
        <v>3222.2</v>
      </c>
    </row>
    <row r="49" spans="4:12" x14ac:dyDescent="0.3">
      <c r="D49" t="s">
        <v>103</v>
      </c>
      <c r="H49" s="18">
        <v>3932.8</v>
      </c>
      <c r="I49" s="18">
        <v>3394.8</v>
      </c>
      <c r="J49" s="18">
        <v>3102.7</v>
      </c>
      <c r="K49" s="18">
        <v>1484</v>
      </c>
      <c r="L49" s="18">
        <v>4765.5</v>
      </c>
    </row>
    <row r="50" spans="4:12" x14ac:dyDescent="0.3">
      <c r="D50" t="s">
        <v>102</v>
      </c>
      <c r="H50" s="18">
        <v>3953.9</v>
      </c>
      <c r="I50" s="18">
        <v>4030.9</v>
      </c>
      <c r="J50" s="18">
        <v>4131.7</v>
      </c>
      <c r="K50" s="18">
        <v>4167.3999999999996</v>
      </c>
      <c r="L50" s="18">
        <v>4231.1000000000004</v>
      </c>
    </row>
    <row r="51" spans="4:12" x14ac:dyDescent="0.3">
      <c r="D51" t="s">
        <v>101</v>
      </c>
      <c r="H51" s="18">
        <v>1636.6</v>
      </c>
      <c r="I51" s="18">
        <v>2115.4</v>
      </c>
      <c r="J51" s="18">
        <v>664.2</v>
      </c>
      <c r="K51" s="18">
        <v>474.1</v>
      </c>
      <c r="L51" s="18">
        <v>430.5</v>
      </c>
    </row>
    <row r="52" spans="4:12" x14ac:dyDescent="0.3">
      <c r="D52" t="s">
        <v>100</v>
      </c>
      <c r="H52" s="18"/>
      <c r="I52" s="18"/>
      <c r="J52" s="18">
        <v>129.69999999999999</v>
      </c>
      <c r="K52" s="18">
        <v>101.7</v>
      </c>
      <c r="L52" s="18">
        <v>715.2</v>
      </c>
    </row>
    <row r="53" spans="4:12" x14ac:dyDescent="0.3">
      <c r="D53" t="s">
        <v>99</v>
      </c>
      <c r="H53" s="18"/>
      <c r="I53" s="18"/>
      <c r="J53" s="18"/>
      <c r="K53" s="18"/>
      <c r="L53" s="18"/>
    </row>
    <row r="54" spans="4:12" x14ac:dyDescent="0.3">
      <c r="D54" t="s">
        <v>89</v>
      </c>
      <c r="H54" s="18">
        <v>1539.5</v>
      </c>
      <c r="I54" s="18">
        <v>2316.6999999999998</v>
      </c>
      <c r="J54" s="18">
        <v>3046.1</v>
      </c>
      <c r="K54" s="18">
        <v>3348</v>
      </c>
      <c r="L54" s="18">
        <v>9108.6</v>
      </c>
    </row>
    <row r="55" spans="4:12" x14ac:dyDescent="0.3">
      <c r="D55" t="s">
        <v>98</v>
      </c>
      <c r="H55" s="18">
        <v>80.2</v>
      </c>
      <c r="I55" s="18">
        <v>80.2</v>
      </c>
      <c r="J55" s="18">
        <v>80.2</v>
      </c>
      <c r="K55" s="18">
        <v>0</v>
      </c>
      <c r="L55" s="18">
        <v>323.8</v>
      </c>
    </row>
    <row r="56" spans="4:12" x14ac:dyDescent="0.3">
      <c r="D56" t="s">
        <v>97</v>
      </c>
      <c r="H56" s="18">
        <v>607.9</v>
      </c>
      <c r="I56" s="18">
        <v>7106.7</v>
      </c>
      <c r="J56" s="18">
        <v>2952.5</v>
      </c>
      <c r="K56" s="18">
        <v>1202.2</v>
      </c>
      <c r="L56" s="18">
        <v>4753.6000000000004</v>
      </c>
    </row>
    <row r="57" spans="4:12" x14ac:dyDescent="0.3">
      <c r="D57" t="s">
        <v>96</v>
      </c>
      <c r="H57" s="18">
        <v>11079.1</v>
      </c>
      <c r="I57" s="18">
        <v>13092.6</v>
      </c>
      <c r="J57" s="18">
        <v>13025</v>
      </c>
      <c r="K57" s="18">
        <v>15148.3</v>
      </c>
      <c r="L57" s="18">
        <v>17382.5</v>
      </c>
    </row>
    <row r="58" spans="4:12" x14ac:dyDescent="0.3">
      <c r="D58" t="s">
        <v>95</v>
      </c>
      <c r="H58" s="18">
        <v>171.1</v>
      </c>
      <c r="I58" s="18">
        <v>533.1</v>
      </c>
      <c r="J58" s="18">
        <v>575.4</v>
      </c>
      <c r="K58" s="18">
        <v>781.7</v>
      </c>
      <c r="L58" s="18">
        <v>647.1</v>
      </c>
    </row>
    <row r="59" spans="4:12" x14ac:dyDescent="0.3">
      <c r="D59" t="s">
        <v>94</v>
      </c>
      <c r="H59" s="18">
        <v>564</v>
      </c>
      <c r="I59" s="18">
        <v>796.2</v>
      </c>
      <c r="J59" s="18">
        <v>529.6</v>
      </c>
      <c r="K59" s="18">
        <v>839.5</v>
      </c>
      <c r="L59" s="18">
        <v>1233.4000000000001</v>
      </c>
    </row>
    <row r="60" spans="4:12" ht="15.6" x14ac:dyDescent="0.3">
      <c r="D60" s="14" t="s">
        <v>93</v>
      </c>
      <c r="E60" s="12"/>
      <c r="F60" s="12"/>
      <c r="G60" s="12"/>
      <c r="H60" s="21">
        <v>45904.4</v>
      </c>
      <c r="I60" s="21">
        <v>56337.599999999999</v>
      </c>
      <c r="J60" s="21">
        <v>50269.7</v>
      </c>
      <c r="K60" s="21">
        <v>51633.2</v>
      </c>
      <c r="L60" s="21">
        <v>67452.800000000003</v>
      </c>
    </row>
    <row r="61" spans="4:12" ht="15.6" x14ac:dyDescent="0.3">
      <c r="D61" s="15" t="s">
        <v>92</v>
      </c>
      <c r="H61" s="18"/>
      <c r="I61" s="18"/>
      <c r="J61" s="18"/>
      <c r="K61" s="18"/>
      <c r="L61" s="18"/>
    </row>
    <row r="62" spans="4:12" x14ac:dyDescent="0.3">
      <c r="D62" t="s">
        <v>91</v>
      </c>
      <c r="H62" s="18">
        <v>23124.400000000001</v>
      </c>
      <c r="I62" s="18">
        <v>30055.3</v>
      </c>
      <c r="J62" s="18">
        <v>26075.3</v>
      </c>
      <c r="K62" s="18">
        <v>26611.8</v>
      </c>
      <c r="L62" s="18">
        <v>29224.1</v>
      </c>
    </row>
    <row r="63" spans="4:12" x14ac:dyDescent="0.3">
      <c r="D63" t="s">
        <v>90</v>
      </c>
      <c r="H63" s="18"/>
      <c r="I63" s="18"/>
      <c r="J63" s="18"/>
      <c r="K63" s="18"/>
      <c r="L63" s="18"/>
    </row>
    <row r="64" spans="4:12" x14ac:dyDescent="0.3">
      <c r="D64" t="s">
        <v>89</v>
      </c>
      <c r="H64" s="18">
        <v>1788.3</v>
      </c>
      <c r="I64" s="18">
        <v>1393.1</v>
      </c>
      <c r="J64" s="18">
        <v>3172.1</v>
      </c>
      <c r="K64" s="18">
        <v>1489.9</v>
      </c>
      <c r="L64" s="18">
        <v>9022.6</v>
      </c>
    </row>
    <row r="65" spans="1:12" x14ac:dyDescent="0.3">
      <c r="D65" t="s">
        <v>88</v>
      </c>
      <c r="H65" s="18">
        <v>16072.1</v>
      </c>
      <c r="I65" s="18">
        <v>18846</v>
      </c>
      <c r="J65" s="18">
        <v>21321.8</v>
      </c>
      <c r="K65" s="18">
        <v>22528.1</v>
      </c>
      <c r="L65" s="18">
        <v>24662.5</v>
      </c>
    </row>
    <row r="66" spans="1:12" x14ac:dyDescent="0.3">
      <c r="A66" s="132"/>
      <c r="B66" s="132"/>
      <c r="C66" s="132"/>
      <c r="D66" t="s">
        <v>87</v>
      </c>
      <c r="H66" s="18">
        <v>1742.2</v>
      </c>
      <c r="I66" s="18">
        <v>2321.8000000000002</v>
      </c>
      <c r="J66" s="18">
        <v>2738</v>
      </c>
      <c r="K66" s="18">
        <v>4550.7</v>
      </c>
      <c r="L66" s="18">
        <v>3041.4</v>
      </c>
    </row>
    <row r="67" spans="1:12" x14ac:dyDescent="0.3">
      <c r="D67" t="s">
        <v>86</v>
      </c>
      <c r="H67" s="18">
        <v>18162.3</v>
      </c>
      <c r="I67" s="18">
        <v>23464</v>
      </c>
      <c r="J67" s="18">
        <v>23430.9</v>
      </c>
      <c r="K67" s="18">
        <v>11242.8</v>
      </c>
      <c r="L67" s="18">
        <v>12589.4</v>
      </c>
    </row>
    <row r="68" spans="1:12" x14ac:dyDescent="0.3">
      <c r="D68" t="s">
        <v>85</v>
      </c>
      <c r="H68" s="18">
        <v>187.3</v>
      </c>
      <c r="I68" s="18">
        <v>202.5</v>
      </c>
      <c r="J68" s="18">
        <v>67.7</v>
      </c>
      <c r="K68" s="18">
        <v>90.7</v>
      </c>
      <c r="L68" s="18">
        <v>90.4</v>
      </c>
    </row>
    <row r="69" spans="1:12" x14ac:dyDescent="0.3">
      <c r="D69" t="s">
        <v>84</v>
      </c>
      <c r="H69" s="18">
        <v>2606</v>
      </c>
      <c r="I69" s="18">
        <v>1731.5</v>
      </c>
      <c r="J69" s="18">
        <v>1897.5</v>
      </c>
      <c r="K69" s="18">
        <v>29302</v>
      </c>
      <c r="L69" s="18">
        <v>21154.799999999999</v>
      </c>
    </row>
    <row r="70" spans="1:12" x14ac:dyDescent="0.3">
      <c r="D70" t="s">
        <v>83</v>
      </c>
      <c r="H70" s="18">
        <v>5550.1</v>
      </c>
      <c r="I70" s="18">
        <v>6322.8</v>
      </c>
      <c r="J70" s="18">
        <v>7360.9</v>
      </c>
      <c r="K70" s="18">
        <v>8299.7999999999993</v>
      </c>
      <c r="L70" s="18">
        <v>8326.7000000000007</v>
      </c>
    </row>
    <row r="71" spans="1:12" ht="15.6" x14ac:dyDescent="0.3">
      <c r="D71" s="15"/>
      <c r="H71" s="20">
        <v>69232.7</v>
      </c>
      <c r="I71" s="20">
        <v>84337</v>
      </c>
      <c r="J71" s="20">
        <v>86064.2</v>
      </c>
      <c r="K71" s="20">
        <v>104115.8</v>
      </c>
      <c r="L71" s="20">
        <v>108111.9</v>
      </c>
    </row>
    <row r="72" spans="1:12" x14ac:dyDescent="0.3">
      <c r="D72" t="s">
        <v>82</v>
      </c>
      <c r="H72" s="18">
        <v>55.5</v>
      </c>
      <c r="I72" s="18">
        <v>17.3</v>
      </c>
      <c r="J72" s="18">
        <v>1232.5999999999999</v>
      </c>
      <c r="K72" s="18" t="s">
        <v>81</v>
      </c>
      <c r="L72" s="18">
        <v>1346.3</v>
      </c>
    </row>
    <row r="73" spans="1:12" ht="15.6" x14ac:dyDescent="0.3">
      <c r="D73" s="14" t="s">
        <v>80</v>
      </c>
      <c r="E73" s="12"/>
      <c r="F73" s="12"/>
      <c r="G73" s="12"/>
      <c r="H73" s="21">
        <v>69288.2</v>
      </c>
      <c r="I73" s="21">
        <v>84354.3</v>
      </c>
      <c r="J73" s="21">
        <v>87296.8</v>
      </c>
      <c r="K73" s="21">
        <v>104115.8</v>
      </c>
      <c r="L73" s="21">
        <v>108111.9</v>
      </c>
    </row>
    <row r="74" spans="1:12" ht="15.6" x14ac:dyDescent="0.3">
      <c r="D74" s="15" t="s">
        <v>79</v>
      </c>
      <c r="H74" s="20">
        <v>115192.6</v>
      </c>
      <c r="I74" s="20">
        <v>140691.9</v>
      </c>
      <c r="J74" s="20">
        <v>137566.5</v>
      </c>
      <c r="K74" s="20">
        <v>155749</v>
      </c>
      <c r="L74" s="20">
        <v>176911</v>
      </c>
    </row>
    <row r="75" spans="1:12" ht="15.6" x14ac:dyDescent="0.3">
      <c r="D75" s="15" t="s">
        <v>78</v>
      </c>
      <c r="H75" s="18"/>
      <c r="I75" s="18"/>
      <c r="J75" s="18"/>
      <c r="K75" s="18"/>
      <c r="L75" s="18"/>
    </row>
    <row r="76" spans="1:12" ht="15.6" x14ac:dyDescent="0.3">
      <c r="D76" s="15" t="s">
        <v>77</v>
      </c>
      <c r="H76" s="18"/>
      <c r="I76" s="18"/>
      <c r="J76" s="18"/>
      <c r="K76" s="18"/>
      <c r="L76" s="18"/>
    </row>
    <row r="77" spans="1:12" x14ac:dyDescent="0.3">
      <c r="D77" t="s">
        <v>76</v>
      </c>
      <c r="H77" s="18">
        <v>239.1</v>
      </c>
      <c r="I77" s="18">
        <v>239.1</v>
      </c>
      <c r="J77" s="18">
        <v>239.1</v>
      </c>
      <c r="K77" s="18">
        <v>239.1</v>
      </c>
      <c r="L77" s="18">
        <v>239.1</v>
      </c>
    </row>
    <row r="78" spans="1:12" x14ac:dyDescent="0.3">
      <c r="D78" t="s">
        <v>75</v>
      </c>
      <c r="H78" s="18">
        <v>73528.2</v>
      </c>
      <c r="I78" s="18">
        <v>86139.9</v>
      </c>
      <c r="J78" s="18">
        <v>90213.8</v>
      </c>
      <c r="K78" s="18">
        <v>102881.5</v>
      </c>
      <c r="L78" s="18">
        <v>119609.60000000001</v>
      </c>
    </row>
    <row r="79" spans="1:12" x14ac:dyDescent="0.3">
      <c r="D79" t="s">
        <v>74</v>
      </c>
      <c r="H79" s="18">
        <v>73767.3</v>
      </c>
      <c r="I79" s="18">
        <v>86379</v>
      </c>
      <c r="J79" s="18">
        <v>90452.9</v>
      </c>
      <c r="K79" s="18">
        <v>103120.6</v>
      </c>
      <c r="L79" s="18">
        <v>119848.7</v>
      </c>
    </row>
    <row r="80" spans="1:12" x14ac:dyDescent="0.3">
      <c r="D80" t="s">
        <v>73</v>
      </c>
      <c r="H80" s="18">
        <v>1812.8</v>
      </c>
      <c r="I80" s="18">
        <v>2094.3000000000002</v>
      </c>
      <c r="J80" s="18">
        <v>3897.1</v>
      </c>
      <c r="K80" s="18">
        <v>4023.4</v>
      </c>
      <c r="L80" s="18">
        <v>4487.6000000000004</v>
      </c>
    </row>
    <row r="81" spans="4:12" x14ac:dyDescent="0.3">
      <c r="D81" t="s">
        <v>72</v>
      </c>
      <c r="H81" s="18">
        <v>75580.100000000006</v>
      </c>
      <c r="I81" s="18">
        <v>88473.3</v>
      </c>
      <c r="J81" s="18">
        <v>94350</v>
      </c>
      <c r="K81" s="18">
        <v>107144</v>
      </c>
      <c r="L81" s="18">
        <v>124336.3</v>
      </c>
    </row>
    <row r="82" spans="4:12" x14ac:dyDescent="0.3">
      <c r="D82" s="4" t="s">
        <v>71</v>
      </c>
      <c r="H82" s="18"/>
      <c r="I82" s="18"/>
      <c r="J82" s="18"/>
      <c r="K82" s="18"/>
      <c r="L82" s="18"/>
    </row>
    <row r="83" spans="4:12" x14ac:dyDescent="0.3">
      <c r="D83" s="4" t="s">
        <v>70</v>
      </c>
      <c r="H83" s="18"/>
      <c r="I83" s="18"/>
      <c r="J83" s="18"/>
      <c r="K83" s="18"/>
      <c r="L83" s="18"/>
    </row>
    <row r="84" spans="4:12" x14ac:dyDescent="0.3">
      <c r="D84" t="s">
        <v>69</v>
      </c>
      <c r="H84" s="18"/>
      <c r="I84" s="18"/>
      <c r="J84" s="18"/>
      <c r="K84" s="18"/>
      <c r="L84" s="18"/>
    </row>
    <row r="85" spans="4:12" x14ac:dyDescent="0.3">
      <c r="D85" t="s">
        <v>62</v>
      </c>
      <c r="H85" s="18">
        <v>279.3</v>
      </c>
      <c r="I85" s="18">
        <v>93.8</v>
      </c>
      <c r="J85" s="18">
        <v>0</v>
      </c>
      <c r="K85" s="18">
        <v>400</v>
      </c>
      <c r="L85" s="18">
        <v>3109.1</v>
      </c>
    </row>
    <row r="86" spans="4:12" x14ac:dyDescent="0.3">
      <c r="D86" t="s">
        <v>61</v>
      </c>
      <c r="H86" s="18">
        <v>697.1</v>
      </c>
      <c r="I86" s="18">
        <v>664.7</v>
      </c>
      <c r="J86" s="18">
        <v>703.3</v>
      </c>
      <c r="K86" s="18">
        <v>1892.6</v>
      </c>
      <c r="L86" s="18">
        <v>2674.2</v>
      </c>
    </row>
    <row r="87" spans="4:12" x14ac:dyDescent="0.3">
      <c r="D87" t="s">
        <v>68</v>
      </c>
      <c r="H87" s="18"/>
      <c r="I87" s="18"/>
      <c r="J87" s="18">
        <v>1660.1</v>
      </c>
      <c r="K87" s="18">
        <v>3109.9</v>
      </c>
      <c r="L87" s="18">
        <v>3539.9</v>
      </c>
    </row>
    <row r="88" spans="4:12" x14ac:dyDescent="0.3">
      <c r="D88" t="s">
        <v>67</v>
      </c>
      <c r="H88" s="13">
        <v>2507.3000000000002</v>
      </c>
      <c r="I88" s="18">
        <v>3327.5</v>
      </c>
      <c r="J88" s="18">
        <v>3693.6</v>
      </c>
      <c r="K88" s="18">
        <v>2998.6</v>
      </c>
      <c r="L88" s="18">
        <v>3382.2</v>
      </c>
    </row>
    <row r="89" spans="4:12" x14ac:dyDescent="0.3">
      <c r="D89" t="s">
        <v>66</v>
      </c>
      <c r="H89" s="18">
        <v>88.3</v>
      </c>
      <c r="I89" s="18">
        <v>79.2</v>
      </c>
      <c r="J89" s="18">
        <v>88</v>
      </c>
      <c r="K89" s="18">
        <v>258.39999999999998</v>
      </c>
      <c r="L89" s="18">
        <v>219.5</v>
      </c>
    </row>
    <row r="90" spans="4:12" ht="15.6" x14ac:dyDescent="0.3">
      <c r="D90" s="14" t="s">
        <v>65</v>
      </c>
      <c r="E90" s="12"/>
      <c r="F90" s="12"/>
      <c r="G90" s="12"/>
      <c r="H90" s="21">
        <v>3572</v>
      </c>
      <c r="I90" s="21">
        <v>4165.2</v>
      </c>
      <c r="J90" s="21">
        <v>6145</v>
      </c>
      <c r="K90" s="21">
        <v>8659.5</v>
      </c>
      <c r="L90" s="21">
        <v>12924.9</v>
      </c>
    </row>
    <row r="91" spans="4:12" x14ac:dyDescent="0.3">
      <c r="D91" t="s">
        <v>64</v>
      </c>
      <c r="H91" s="18"/>
      <c r="I91" s="18"/>
      <c r="J91" s="18"/>
      <c r="K91" s="18"/>
      <c r="L91" s="18"/>
    </row>
    <row r="92" spans="4:12" x14ac:dyDescent="0.3">
      <c r="D92" t="s">
        <v>63</v>
      </c>
      <c r="H92" s="18"/>
      <c r="I92" s="18"/>
      <c r="J92" s="18"/>
      <c r="K92" s="18"/>
      <c r="L92" s="18"/>
    </row>
    <row r="93" spans="4:12" x14ac:dyDescent="0.3">
      <c r="D93" t="s">
        <v>62</v>
      </c>
      <c r="H93" s="18">
        <v>16727.900000000001</v>
      </c>
      <c r="I93" s="18">
        <v>25707.4</v>
      </c>
      <c r="J93" s="18">
        <v>13071.5</v>
      </c>
      <c r="K93" s="18">
        <v>11739.7</v>
      </c>
      <c r="L93" s="18">
        <v>7518.8</v>
      </c>
    </row>
    <row r="94" spans="4:12" x14ac:dyDescent="0.3">
      <c r="D94" t="s">
        <v>61</v>
      </c>
      <c r="H94" s="18">
        <v>215.5</v>
      </c>
      <c r="I94" s="18">
        <v>216</v>
      </c>
      <c r="J94" s="18">
        <v>192</v>
      </c>
      <c r="K94" s="18">
        <v>151.80000000000001</v>
      </c>
      <c r="L94" s="18">
        <v>506.9</v>
      </c>
    </row>
    <row r="95" spans="4:12" x14ac:dyDescent="0.3">
      <c r="D95" t="s">
        <v>60</v>
      </c>
      <c r="H95" s="18"/>
      <c r="I95" s="18"/>
      <c r="J95" s="18"/>
      <c r="K95" s="18"/>
      <c r="L95" s="18"/>
    </row>
    <row r="96" spans="4:12" x14ac:dyDescent="0.3">
      <c r="D96" t="s">
        <v>59</v>
      </c>
      <c r="H96" s="18">
        <v>1189.5999999999999</v>
      </c>
      <c r="I96" s="18">
        <v>924.2</v>
      </c>
      <c r="J96" s="18">
        <v>1104.5999999999999</v>
      </c>
      <c r="K96" s="18">
        <v>670</v>
      </c>
      <c r="L96" s="18">
        <v>879.8</v>
      </c>
    </row>
    <row r="97" spans="1:12" x14ac:dyDescent="0.3">
      <c r="D97" t="s">
        <v>58</v>
      </c>
      <c r="H97" s="18">
        <v>9504.5</v>
      </c>
      <c r="I97" s="18">
        <v>10809.6</v>
      </c>
      <c r="J97" s="18">
        <v>10545.7</v>
      </c>
      <c r="K97" s="18">
        <v>16811.2</v>
      </c>
      <c r="L97" s="18">
        <v>17513.7</v>
      </c>
    </row>
    <row r="98" spans="1:12" x14ac:dyDescent="0.3">
      <c r="D98" t="s">
        <v>57</v>
      </c>
      <c r="H98" s="18">
        <v>4653.8999999999996</v>
      </c>
      <c r="I98" s="18">
        <v>5993.8</v>
      </c>
      <c r="J98" s="18">
        <v>6326.9</v>
      </c>
      <c r="K98" s="18">
        <v>6457.7</v>
      </c>
      <c r="L98" s="18">
        <v>7908.6</v>
      </c>
    </row>
    <row r="99" spans="1:12" x14ac:dyDescent="0.3">
      <c r="D99" t="s">
        <v>56</v>
      </c>
      <c r="H99" s="18">
        <v>1193.4000000000001</v>
      </c>
      <c r="I99" s="18">
        <v>1503.2</v>
      </c>
      <c r="J99" s="18">
        <v>1868.9</v>
      </c>
      <c r="K99" s="18">
        <v>2296.5</v>
      </c>
      <c r="L99" s="18">
        <v>3057</v>
      </c>
    </row>
    <row r="100" spans="1:12" x14ac:dyDescent="0.3">
      <c r="D100" t="s">
        <v>55</v>
      </c>
      <c r="H100" s="18">
        <v>2366.4</v>
      </c>
      <c r="I100" s="18">
        <v>2736</v>
      </c>
      <c r="J100" s="18">
        <v>3727.5</v>
      </c>
      <c r="K100" s="18">
        <v>1268.7</v>
      </c>
      <c r="L100" s="18">
        <v>1591.1</v>
      </c>
    </row>
    <row r="101" spans="1:12" x14ac:dyDescent="0.3">
      <c r="D101" t="s">
        <v>54</v>
      </c>
      <c r="H101" s="18">
        <v>189.3</v>
      </c>
      <c r="I101" s="18">
        <v>163.19999999999999</v>
      </c>
      <c r="J101" s="18">
        <v>234.4</v>
      </c>
      <c r="K101" s="18">
        <v>549.9</v>
      </c>
      <c r="L101" s="18">
        <v>611</v>
      </c>
    </row>
    <row r="102" spans="1:12" ht="15.6" x14ac:dyDescent="0.3">
      <c r="D102" s="14" t="s">
        <v>53</v>
      </c>
      <c r="E102" s="12"/>
      <c r="F102" s="12"/>
      <c r="G102" s="12"/>
      <c r="H102" s="21">
        <v>36040.5</v>
      </c>
      <c r="I102" s="21">
        <v>48053.4</v>
      </c>
      <c r="J102" s="21">
        <v>37071.5</v>
      </c>
      <c r="K102" s="21">
        <v>39945.5</v>
      </c>
      <c r="L102" s="21">
        <v>39586.9</v>
      </c>
    </row>
    <row r="103" spans="1:12" ht="15.6" x14ac:dyDescent="0.3">
      <c r="D103" s="15" t="s">
        <v>52</v>
      </c>
      <c r="H103" s="20"/>
      <c r="I103" s="20"/>
      <c r="J103" s="20"/>
      <c r="K103" s="20"/>
      <c r="L103" s="18">
        <v>62.9</v>
      </c>
    </row>
    <row r="104" spans="1:12" x14ac:dyDescent="0.3">
      <c r="D104" t="s">
        <v>51</v>
      </c>
      <c r="H104" s="18">
        <v>39612.5</v>
      </c>
      <c r="I104" s="18">
        <v>52218.6</v>
      </c>
      <c r="J104" s="18">
        <v>43216.5</v>
      </c>
      <c r="K104" s="18">
        <v>48605</v>
      </c>
      <c r="L104" s="18">
        <v>52574.7</v>
      </c>
    </row>
    <row r="105" spans="1:12" ht="15.6" x14ac:dyDescent="0.3">
      <c r="D105" s="14" t="s">
        <v>50</v>
      </c>
      <c r="E105" s="12"/>
      <c r="F105" s="12"/>
      <c r="G105" s="12"/>
      <c r="H105" s="21">
        <v>115192.6</v>
      </c>
      <c r="I105" s="21">
        <v>140691.9</v>
      </c>
      <c r="J105" s="21">
        <v>137566.5</v>
      </c>
      <c r="K105" s="21">
        <v>155749</v>
      </c>
      <c r="L105" s="21">
        <v>176911</v>
      </c>
    </row>
    <row r="106" spans="1:12" x14ac:dyDescent="0.3">
      <c r="H106" s="18"/>
      <c r="I106" s="18"/>
      <c r="J106" s="18"/>
      <c r="K106" s="18"/>
      <c r="L106" s="18"/>
    </row>
    <row r="107" spans="1:12" x14ac:dyDescent="0.3">
      <c r="A107" s="2" t="s">
        <v>108</v>
      </c>
      <c r="B107" s="2"/>
      <c r="C107" s="2"/>
      <c r="D107" s="3"/>
      <c r="E107" s="3"/>
      <c r="F107" s="3"/>
      <c r="G107" s="3"/>
      <c r="H107" s="3">
        <v>2021</v>
      </c>
      <c r="I107" s="3">
        <f>H107+1</f>
        <v>2022</v>
      </c>
      <c r="J107" s="3">
        <f>I107+1</f>
        <v>2023</v>
      </c>
      <c r="K107" s="3">
        <f>J107+1</f>
        <v>2024</v>
      </c>
      <c r="L107" s="3">
        <f>K107+1</f>
        <v>2025</v>
      </c>
    </row>
    <row r="108" spans="1:12" x14ac:dyDescent="0.3">
      <c r="H108" s="18"/>
      <c r="I108" s="18"/>
      <c r="J108" s="18"/>
      <c r="K108" s="18"/>
      <c r="L108" s="18"/>
    </row>
    <row r="109" spans="1:12" x14ac:dyDescent="0.3">
      <c r="D109" t="s">
        <v>109</v>
      </c>
      <c r="H109" s="18"/>
      <c r="I109" s="18"/>
      <c r="J109" s="18"/>
      <c r="K109" s="18"/>
      <c r="L109" s="18"/>
    </row>
    <row r="110" spans="1:12" x14ac:dyDescent="0.3">
      <c r="D110" s="16" t="s">
        <v>110</v>
      </c>
      <c r="E110" s="16"/>
      <c r="H110" s="51">
        <v>18421</v>
      </c>
      <c r="I110" s="51">
        <v>18442.8</v>
      </c>
      <c r="J110" s="50">
        <v>13047.7</v>
      </c>
      <c r="K110" s="50">
        <v>20231.3</v>
      </c>
      <c r="L110" s="50">
        <v>25270.3</v>
      </c>
    </row>
    <row r="111" spans="1:12" x14ac:dyDescent="0.3">
      <c r="D111" t="s">
        <v>111</v>
      </c>
      <c r="H111" s="49">
        <v>0</v>
      </c>
      <c r="I111" s="49">
        <v>0</v>
      </c>
      <c r="J111" s="49"/>
      <c r="K111" s="49"/>
      <c r="L111" s="49"/>
    </row>
    <row r="112" spans="1:12" x14ac:dyDescent="0.3">
      <c r="D112" t="s">
        <v>112</v>
      </c>
      <c r="H112" s="49">
        <v>2745.8</v>
      </c>
      <c r="I112" s="49">
        <v>3039.6</v>
      </c>
      <c r="J112" s="49">
        <v>3104.2</v>
      </c>
      <c r="K112" s="49">
        <v>2993</v>
      </c>
      <c r="L112" s="49">
        <v>3571.6</v>
      </c>
    </row>
    <row r="113" spans="4:12" x14ac:dyDescent="0.3">
      <c r="D113" t="s">
        <v>113</v>
      </c>
      <c r="H113" s="49">
        <v>0</v>
      </c>
      <c r="I113" s="49">
        <v>-160.1</v>
      </c>
      <c r="J113" s="49">
        <v>-17.5</v>
      </c>
      <c r="K113" s="49">
        <v>-19.8</v>
      </c>
      <c r="L113" s="49">
        <v>-155.1</v>
      </c>
    </row>
    <row r="114" spans="4:12" x14ac:dyDescent="0.3">
      <c r="D114" t="s">
        <v>114</v>
      </c>
      <c r="H114" s="49">
        <v>-102.6</v>
      </c>
      <c r="I114" s="49">
        <v>-33.799999999999997</v>
      </c>
      <c r="J114" s="49">
        <v>-21.6</v>
      </c>
      <c r="K114" s="49">
        <v>-146.30000000000001</v>
      </c>
      <c r="L114" s="49">
        <v>-110.2</v>
      </c>
    </row>
    <row r="115" spans="4:12" x14ac:dyDescent="0.3">
      <c r="D115" t="s">
        <v>115</v>
      </c>
      <c r="H115" s="49">
        <v>-266.89999999999998</v>
      </c>
      <c r="I115" s="49">
        <v>69</v>
      </c>
      <c r="J115" s="49">
        <v>-287</v>
      </c>
      <c r="K115" s="49">
        <v>-5.4</v>
      </c>
      <c r="L115" s="49">
        <v>-418.7</v>
      </c>
    </row>
    <row r="116" spans="4:12" x14ac:dyDescent="0.3">
      <c r="D116" t="s">
        <v>116</v>
      </c>
      <c r="H116" s="49">
        <v>-37</v>
      </c>
      <c r="I116" s="49">
        <v>14.3</v>
      </c>
      <c r="J116" s="49">
        <v>123.6</v>
      </c>
      <c r="K116" s="49">
        <v>31.8</v>
      </c>
      <c r="L116" s="49">
        <v>-46</v>
      </c>
    </row>
    <row r="117" spans="4:12" x14ac:dyDescent="0.3">
      <c r="D117" t="s">
        <v>117</v>
      </c>
      <c r="H117" s="49">
        <v>1.1000000000000001</v>
      </c>
      <c r="I117" s="49">
        <v>0</v>
      </c>
      <c r="J117" s="49"/>
      <c r="K117" s="49">
        <v>189.4</v>
      </c>
      <c r="L117" s="49">
        <v>166.1</v>
      </c>
    </row>
    <row r="118" spans="4:12" x14ac:dyDescent="0.3">
      <c r="D118" t="s">
        <v>118</v>
      </c>
      <c r="H118" s="49">
        <v>-114.9</v>
      </c>
      <c r="I118" s="49">
        <v>0</v>
      </c>
      <c r="J118" s="49"/>
      <c r="K118" s="49"/>
      <c r="L118" s="49"/>
    </row>
    <row r="119" spans="4:12" x14ac:dyDescent="0.3">
      <c r="D119" t="s">
        <v>119</v>
      </c>
      <c r="H119" s="49">
        <v>9.6999999999999993</v>
      </c>
      <c r="I119" s="49">
        <v>-177</v>
      </c>
      <c r="J119" s="49">
        <v>-118.8</v>
      </c>
      <c r="K119" s="49">
        <v>594.29999999999995</v>
      </c>
      <c r="L119" s="49">
        <v>111.6</v>
      </c>
    </row>
    <row r="120" spans="4:12" x14ac:dyDescent="0.3">
      <c r="D120" t="s">
        <v>120</v>
      </c>
      <c r="H120" s="49">
        <v>-0.2</v>
      </c>
      <c r="I120" s="49">
        <v>-1.9</v>
      </c>
      <c r="J120" s="49">
        <v>-1.9</v>
      </c>
      <c r="K120" s="49">
        <v>-1.9</v>
      </c>
      <c r="L120" s="49">
        <v>-1.7</v>
      </c>
    </row>
    <row r="121" spans="4:12" x14ac:dyDescent="0.3">
      <c r="D121" t="s">
        <v>121</v>
      </c>
      <c r="H121" s="49">
        <v>-351</v>
      </c>
      <c r="I121" s="49">
        <v>0</v>
      </c>
      <c r="J121" s="49"/>
      <c r="K121" s="49"/>
      <c r="L121" s="49"/>
    </row>
    <row r="122" spans="4:12" x14ac:dyDescent="0.3">
      <c r="D122" t="s">
        <v>122</v>
      </c>
      <c r="H122" s="49">
        <v>0</v>
      </c>
      <c r="I122" s="49">
        <v>11.2</v>
      </c>
      <c r="J122" s="49">
        <v>1051.5</v>
      </c>
      <c r="K122" s="49">
        <v>992.2</v>
      </c>
      <c r="L122" s="49">
        <v>137.30000000000001</v>
      </c>
    </row>
    <row r="123" spans="4:12" x14ac:dyDescent="0.3">
      <c r="D123" t="s">
        <v>123</v>
      </c>
      <c r="H123" s="49">
        <v>-901.2</v>
      </c>
      <c r="I123" s="49">
        <v>-1226.8</v>
      </c>
      <c r="J123" s="49">
        <v>-1711.4</v>
      </c>
      <c r="K123" s="49">
        <v>-2757.7</v>
      </c>
      <c r="L123" s="49">
        <v>-3587.8</v>
      </c>
    </row>
    <row r="124" spans="4:12" x14ac:dyDescent="0.3">
      <c r="D124" t="s">
        <v>124</v>
      </c>
      <c r="H124" s="49">
        <v>589.20000000000005</v>
      </c>
      <c r="I124" s="49">
        <v>523.70000000000005</v>
      </c>
      <c r="J124" s="49">
        <v>1073.5999999999999</v>
      </c>
      <c r="K124" s="49">
        <v>1124.0999999999999</v>
      </c>
      <c r="L124" s="49">
        <v>1217</v>
      </c>
    </row>
    <row r="125" spans="4:12" x14ac:dyDescent="0.3">
      <c r="D125" t="s">
        <v>125</v>
      </c>
      <c r="H125" s="49">
        <v>82.8</v>
      </c>
      <c r="I125" s="49">
        <v>27.8</v>
      </c>
      <c r="J125" s="49">
        <v>48.8</v>
      </c>
      <c r="K125" s="49">
        <v>318</v>
      </c>
      <c r="L125" s="49">
        <v>20.2</v>
      </c>
    </row>
    <row r="126" spans="4:12" x14ac:dyDescent="0.3">
      <c r="D126" t="s">
        <v>126</v>
      </c>
      <c r="H126" s="49">
        <v>-8.4</v>
      </c>
      <c r="I126" s="49">
        <v>0</v>
      </c>
      <c r="J126" s="49"/>
      <c r="K126" s="49">
        <v>524</v>
      </c>
      <c r="L126" s="49">
        <v>133.69999999999999</v>
      </c>
    </row>
    <row r="127" spans="4:12" x14ac:dyDescent="0.3">
      <c r="D127" s="16" t="s">
        <v>127</v>
      </c>
      <c r="E127" s="16"/>
      <c r="H127" s="51">
        <v>1646.4</v>
      </c>
      <c r="I127" s="51">
        <v>2086</v>
      </c>
      <c r="J127" s="51">
        <v>3243.5</v>
      </c>
      <c r="K127" s="50">
        <v>3835.7</v>
      </c>
      <c r="L127" s="50">
        <v>1038</v>
      </c>
    </row>
    <row r="128" spans="4:12" x14ac:dyDescent="0.3">
      <c r="D128" s="16" t="s">
        <v>128</v>
      </c>
      <c r="E128" s="16"/>
      <c r="H128" s="51">
        <v>20067.400000000001</v>
      </c>
      <c r="I128" s="51">
        <v>20528.8</v>
      </c>
      <c r="J128" s="50">
        <v>16291.2</v>
      </c>
      <c r="K128" s="50">
        <v>24067</v>
      </c>
      <c r="L128" s="50">
        <v>26308.3</v>
      </c>
    </row>
    <row r="129" spans="1:12" x14ac:dyDescent="0.3">
      <c r="D129" t="s">
        <v>129</v>
      </c>
      <c r="H129" s="49"/>
      <c r="I129" s="49">
        <v>0</v>
      </c>
      <c r="J129" s="49"/>
      <c r="K129" s="49"/>
      <c r="L129" s="49"/>
    </row>
    <row r="130" spans="1:12" x14ac:dyDescent="0.3">
      <c r="D130" t="s">
        <v>130</v>
      </c>
      <c r="H130" s="49">
        <v>-257.60000000000002</v>
      </c>
      <c r="I130" s="49">
        <v>-2217.5</v>
      </c>
      <c r="J130" s="49">
        <v>-1347.1</v>
      </c>
      <c r="K130" s="49">
        <v>-2219.9</v>
      </c>
      <c r="L130" s="49">
        <v>-2185.5</v>
      </c>
    </row>
    <row r="131" spans="1:12" x14ac:dyDescent="0.3">
      <c r="D131" t="s">
        <v>131</v>
      </c>
      <c r="H131" s="49">
        <v>-926.5</v>
      </c>
      <c r="I131" s="49">
        <v>-435.8</v>
      </c>
      <c r="J131" s="49">
        <v>-770.1</v>
      </c>
      <c r="K131" s="49">
        <v>-1351.1</v>
      </c>
      <c r="L131" s="49">
        <v>249.9</v>
      </c>
    </row>
    <row r="132" spans="1:12" x14ac:dyDescent="0.3">
      <c r="D132" t="s">
        <v>132</v>
      </c>
      <c r="H132" s="49">
        <v>-4977</v>
      </c>
      <c r="I132" s="49">
        <v>-6731.4</v>
      </c>
      <c r="J132" s="49">
        <v>4734.1000000000004</v>
      </c>
      <c r="K132" s="49">
        <v>-734</v>
      </c>
      <c r="L132" s="49">
        <v>-2612.3000000000002</v>
      </c>
    </row>
    <row r="133" spans="1:12" x14ac:dyDescent="0.3">
      <c r="D133" t="s">
        <v>133</v>
      </c>
      <c r="H133" s="49">
        <v>2124.1999999999998</v>
      </c>
      <c r="I133" s="49">
        <v>3344.9</v>
      </c>
      <c r="J133" s="49">
        <v>145.1</v>
      </c>
      <c r="K133" s="49">
        <v>5252.8</v>
      </c>
      <c r="L133" s="49">
        <v>2166.5</v>
      </c>
    </row>
    <row r="134" spans="1:12" x14ac:dyDescent="0.3">
      <c r="D134" t="s">
        <v>134</v>
      </c>
      <c r="H134" s="49">
        <v>625.29999999999995</v>
      </c>
      <c r="I134" s="49">
        <v>590.20000000000005</v>
      </c>
      <c r="J134" s="49">
        <v>505.7</v>
      </c>
      <c r="K134" s="49">
        <v>-1464.7</v>
      </c>
      <c r="L134" s="49">
        <v>241.7</v>
      </c>
    </row>
    <row r="135" spans="1:12" x14ac:dyDescent="0.3">
      <c r="D135" s="4" t="s">
        <v>135</v>
      </c>
      <c r="E135" s="4"/>
      <c r="F135" s="4"/>
      <c r="G135" s="4"/>
      <c r="H135" s="51">
        <v>-3411.6</v>
      </c>
      <c r="I135" s="51">
        <v>-5449.6</v>
      </c>
      <c r="J135" s="51">
        <v>3267.7</v>
      </c>
      <c r="K135" s="51">
        <v>-516.9</v>
      </c>
      <c r="L135" s="51">
        <v>-2139.6999999999998</v>
      </c>
    </row>
    <row r="136" spans="1:12" x14ac:dyDescent="0.3">
      <c r="D136" t="s">
        <v>136</v>
      </c>
      <c r="H136" s="49">
        <v>16655.8</v>
      </c>
      <c r="I136" s="49">
        <v>15079.2</v>
      </c>
      <c r="J136" s="49">
        <v>19558.900000000001</v>
      </c>
      <c r="K136" s="49">
        <v>23550.1</v>
      </c>
      <c r="L136" s="49">
        <v>24168.6</v>
      </c>
    </row>
    <row r="137" spans="1:12" x14ac:dyDescent="0.3">
      <c r="A137" s="132"/>
      <c r="B137" s="132"/>
      <c r="C137" s="132"/>
      <c r="D137" t="s">
        <v>137</v>
      </c>
      <c r="H137" s="49">
        <v>-4006.8</v>
      </c>
      <c r="I137" s="49">
        <v>-3969</v>
      </c>
      <c r="J137" s="49">
        <v>-2733.9</v>
      </c>
      <c r="K137" s="49">
        <v>-4069.4</v>
      </c>
      <c r="L137" s="49">
        <v>-5040.2</v>
      </c>
    </row>
    <row r="138" spans="1:12" x14ac:dyDescent="0.3">
      <c r="D138" s="16" t="s">
        <v>138</v>
      </c>
      <c r="E138" s="16"/>
      <c r="H138" s="51">
        <v>12649</v>
      </c>
      <c r="I138" s="51">
        <v>11110.2</v>
      </c>
      <c r="J138" s="50">
        <v>16825</v>
      </c>
      <c r="K138" s="50">
        <v>19480.7</v>
      </c>
      <c r="L138" s="50">
        <v>19128.400000000001</v>
      </c>
    </row>
    <row r="139" spans="1:12" x14ac:dyDescent="0.3">
      <c r="D139" t="s">
        <v>139</v>
      </c>
      <c r="H139" s="49"/>
      <c r="I139" s="49">
        <v>0</v>
      </c>
      <c r="J139" s="49"/>
      <c r="K139" s="49"/>
      <c r="L139" s="49"/>
    </row>
    <row r="140" spans="1:12" x14ac:dyDescent="0.3">
      <c r="D140" t="s">
        <v>140</v>
      </c>
      <c r="H140" s="49">
        <v>-1949.1</v>
      </c>
      <c r="I140" s="49">
        <v>-3388.8</v>
      </c>
      <c r="J140" s="49">
        <v>-2329.1</v>
      </c>
      <c r="K140" s="49">
        <v>-2592.9</v>
      </c>
      <c r="L140" s="49">
        <v>-6756.2</v>
      </c>
    </row>
    <row r="141" spans="1:12" x14ac:dyDescent="0.3">
      <c r="D141" t="s">
        <v>141</v>
      </c>
      <c r="H141" s="49">
        <v>104.6</v>
      </c>
      <c r="I141" s="49">
        <v>109</v>
      </c>
      <c r="J141" s="49">
        <v>32</v>
      </c>
      <c r="K141" s="49">
        <v>724.8</v>
      </c>
      <c r="L141" s="49">
        <v>408.4</v>
      </c>
    </row>
    <row r="142" spans="1:12" x14ac:dyDescent="0.3">
      <c r="D142" s="17" t="s">
        <v>142</v>
      </c>
      <c r="H142" s="49">
        <v>0</v>
      </c>
      <c r="I142" s="49">
        <v>0</v>
      </c>
      <c r="J142" s="49"/>
      <c r="K142" s="49">
        <v>-36258.800000000003</v>
      </c>
      <c r="L142" s="49">
        <v>-37558.400000000001</v>
      </c>
    </row>
    <row r="143" spans="1:12" x14ac:dyDescent="0.3">
      <c r="D143" t="s">
        <v>143</v>
      </c>
      <c r="H143" s="49">
        <v>-348.3</v>
      </c>
      <c r="I143" s="49">
        <v>-409.3</v>
      </c>
      <c r="J143" s="49"/>
      <c r="K143" s="49">
        <v>24041.8</v>
      </c>
      <c r="L143" s="49">
        <v>40534.199999999997</v>
      </c>
    </row>
    <row r="144" spans="1:12" x14ac:dyDescent="0.3">
      <c r="D144" t="s">
        <v>121</v>
      </c>
      <c r="H144" s="49">
        <v>351</v>
      </c>
      <c r="I144" s="49">
        <v>0</v>
      </c>
      <c r="J144" s="49">
        <v>-2175.3000000000002</v>
      </c>
      <c r="K144" s="49">
        <v>-533.70000000000005</v>
      </c>
      <c r="L144" s="49">
        <v>-19380.8</v>
      </c>
    </row>
    <row r="145" spans="4:12" x14ac:dyDescent="0.3">
      <c r="D145" t="s">
        <v>144</v>
      </c>
      <c r="H145" s="49">
        <v>-8937.9</v>
      </c>
      <c r="I145" s="49">
        <v>-11641.8</v>
      </c>
      <c r="J145" s="49"/>
      <c r="K145" s="49">
        <v>2139.1</v>
      </c>
      <c r="L145" s="49">
        <v>6616.4</v>
      </c>
    </row>
    <row r="146" spans="4:12" x14ac:dyDescent="0.3">
      <c r="D146" t="s">
        <v>145</v>
      </c>
      <c r="H146" s="49">
        <v>0.2</v>
      </c>
      <c r="I146" s="49">
        <v>1.9</v>
      </c>
      <c r="J146" s="49">
        <v>4129.8</v>
      </c>
      <c r="K146" s="49"/>
      <c r="L146" s="49">
        <v>-330</v>
      </c>
    </row>
    <row r="147" spans="4:12" x14ac:dyDescent="0.3">
      <c r="D147" t="s">
        <v>146</v>
      </c>
      <c r="H147" s="49">
        <v>785.7</v>
      </c>
      <c r="I147" s="49">
        <v>977.7</v>
      </c>
      <c r="J147" s="49">
        <v>1.9</v>
      </c>
      <c r="K147" s="49">
        <v>1.9</v>
      </c>
      <c r="L147" s="49">
        <v>1.7</v>
      </c>
    </row>
    <row r="148" spans="4:12" x14ac:dyDescent="0.3">
      <c r="D148" t="s">
        <v>147</v>
      </c>
      <c r="H148" s="49">
        <v>8.4</v>
      </c>
      <c r="I148" s="49">
        <v>0</v>
      </c>
      <c r="J148" s="49">
        <v>1469.1</v>
      </c>
      <c r="K148" s="49">
        <v>2392.8000000000002</v>
      </c>
      <c r="L148" s="49">
        <v>3477.1</v>
      </c>
    </row>
    <row r="149" spans="4:12" x14ac:dyDescent="0.3">
      <c r="D149" s="16" t="s">
        <v>148</v>
      </c>
      <c r="E149" s="16"/>
      <c r="H149" s="51">
        <v>-9985.4</v>
      </c>
      <c r="I149" s="51">
        <v>-14351.3</v>
      </c>
      <c r="J149" s="50">
        <v>1128.4000000000001</v>
      </c>
      <c r="K149" s="50">
        <v>-10085</v>
      </c>
      <c r="L149" s="50">
        <v>-12987.6</v>
      </c>
    </row>
    <row r="150" spans="4:12" x14ac:dyDescent="0.3">
      <c r="D150" t="s">
        <v>149</v>
      </c>
      <c r="H150" s="49">
        <v>0</v>
      </c>
      <c r="I150" s="49">
        <v>0</v>
      </c>
      <c r="J150" s="49"/>
      <c r="K150" s="49"/>
      <c r="L150" s="49"/>
    </row>
    <row r="151" spans="4:12" x14ac:dyDescent="0.3">
      <c r="D151" t="s">
        <v>150</v>
      </c>
      <c r="H151">
        <v>-387.4</v>
      </c>
      <c r="I151">
        <v>-192.89999999999998</v>
      </c>
      <c r="J151" s="49">
        <v>-95</v>
      </c>
      <c r="K151" s="49">
        <v>400</v>
      </c>
      <c r="L151" s="49">
        <v>2879</v>
      </c>
    </row>
    <row r="152" spans="4:12" x14ac:dyDescent="0.3">
      <c r="D152" t="s">
        <v>151</v>
      </c>
      <c r="H152">
        <v>1784.2000000000003</v>
      </c>
      <c r="I152">
        <v>8820.7000000000007</v>
      </c>
      <c r="J152" s="49">
        <v>-12689.8</v>
      </c>
      <c r="K152" s="49">
        <v>-5208.8999999999996</v>
      </c>
      <c r="L152" s="49">
        <v>-4820.1000000000004</v>
      </c>
    </row>
    <row r="153" spans="4:12" x14ac:dyDescent="0.3">
      <c r="D153" s="17" t="s">
        <v>152</v>
      </c>
      <c r="H153">
        <v>0</v>
      </c>
      <c r="I153">
        <v>0</v>
      </c>
      <c r="J153" s="49">
        <v>1614.8</v>
      </c>
      <c r="K153" s="49">
        <v>0</v>
      </c>
      <c r="L153" s="49">
        <v>0</v>
      </c>
    </row>
    <row r="154" spans="4:12" x14ac:dyDescent="0.3">
      <c r="D154" t="s">
        <v>153</v>
      </c>
      <c r="H154">
        <v>-3347.8</v>
      </c>
      <c r="I154">
        <v>-4219.1000000000004</v>
      </c>
      <c r="J154" s="49">
        <v>-5295.2</v>
      </c>
      <c r="K154" s="49">
        <v>-5404.9</v>
      </c>
      <c r="L154" s="49">
        <v>-5046.2</v>
      </c>
    </row>
    <row r="155" spans="4:12" x14ac:dyDescent="0.3">
      <c r="D155" t="s">
        <v>154</v>
      </c>
      <c r="H155">
        <v>-230.3</v>
      </c>
      <c r="I155">
        <v>-211.7</v>
      </c>
      <c r="J155" s="49">
        <v>-238.4</v>
      </c>
      <c r="K155" s="49">
        <v>-323.2</v>
      </c>
      <c r="L155" s="49">
        <v>-316.5</v>
      </c>
    </row>
    <row r="156" spans="4:12" x14ac:dyDescent="0.3">
      <c r="D156" t="s">
        <v>155</v>
      </c>
      <c r="H156">
        <v>-536.20000000000005</v>
      </c>
      <c r="I156">
        <v>-401.3</v>
      </c>
      <c r="J156" s="52">
        <v>-904.6</v>
      </c>
      <c r="K156" s="49">
        <v>-913.1</v>
      </c>
      <c r="L156" s="49">
        <v>-806.1</v>
      </c>
    </row>
    <row r="157" spans="4:12" x14ac:dyDescent="0.3">
      <c r="D157" s="16" t="s">
        <v>156</v>
      </c>
      <c r="E157" s="16"/>
      <c r="H157">
        <v>-2717.5</v>
      </c>
      <c r="I157">
        <v>3795.7</v>
      </c>
      <c r="J157" s="50">
        <v>-17608.2</v>
      </c>
      <c r="K157" s="50">
        <v>-11450.1</v>
      </c>
      <c r="L157" s="50">
        <v>-81099</v>
      </c>
    </row>
    <row r="158" spans="4:12" x14ac:dyDescent="0.3">
      <c r="D158" t="s">
        <v>157</v>
      </c>
      <c r="H158">
        <v>-53.9</v>
      </c>
      <c r="I158">
        <v>554.6</v>
      </c>
      <c r="J158" s="49">
        <v>345.2</v>
      </c>
      <c r="K158" s="49">
        <v>-2054.4</v>
      </c>
      <c r="L158" s="49">
        <v>-1969.1</v>
      </c>
    </row>
    <row r="159" spans="4:12" x14ac:dyDescent="0.3">
      <c r="D159" t="s">
        <v>158</v>
      </c>
      <c r="H159">
        <v>1759.4</v>
      </c>
      <c r="I159">
        <v>1742.2</v>
      </c>
      <c r="J159" s="49">
        <v>2321.8000000000002</v>
      </c>
      <c r="K159" s="49">
        <v>2738</v>
      </c>
      <c r="L159" s="49">
        <v>663.1</v>
      </c>
    </row>
    <row r="160" spans="4:12" x14ac:dyDescent="0.3">
      <c r="D160" t="s">
        <v>159</v>
      </c>
      <c r="H160">
        <v>36.700000000000003</v>
      </c>
      <c r="I160">
        <v>25</v>
      </c>
      <c r="J160" s="49">
        <v>71</v>
      </c>
      <c r="K160" s="49">
        <v>-20.5</v>
      </c>
      <c r="L160" s="49">
        <v>105.1</v>
      </c>
    </row>
    <row r="161" spans="1:17" x14ac:dyDescent="0.3">
      <c r="A161" s="132"/>
      <c r="B161" s="132"/>
      <c r="C161" s="132"/>
      <c r="D161" s="16" t="s">
        <v>160</v>
      </c>
      <c r="E161" s="16"/>
      <c r="H161">
        <v>1742.2</v>
      </c>
      <c r="I161">
        <v>2321.8000000000002</v>
      </c>
      <c r="J161" s="50">
        <v>2738</v>
      </c>
      <c r="K161" s="50">
        <v>663.1</v>
      </c>
      <c r="L161" s="50">
        <v>-1200.9000000000001</v>
      </c>
    </row>
    <row r="162" spans="1:17" x14ac:dyDescent="0.3">
      <c r="A162"/>
      <c r="B162"/>
      <c r="C162"/>
    </row>
    <row r="163" spans="1:17" x14ac:dyDescent="0.3">
      <c r="D163" s="16"/>
      <c r="E163" s="16"/>
      <c r="J163" s="50"/>
      <c r="K163" s="50"/>
      <c r="L163" s="50"/>
    </row>
    <row r="164" spans="1:17" x14ac:dyDescent="0.3">
      <c r="A164" s="34" t="s">
        <v>282</v>
      </c>
      <c r="D164" s="16"/>
      <c r="E164" s="16"/>
      <c r="J164" s="50"/>
      <c r="K164" s="50"/>
      <c r="L164" s="50"/>
    </row>
    <row r="165" spans="1:17" x14ac:dyDescent="0.3">
      <c r="A165" s="65"/>
      <c r="B165" s="65"/>
      <c r="C165" s="65"/>
      <c r="D165" s="26" t="s">
        <v>2</v>
      </c>
      <c r="E165" s="26"/>
      <c r="F165" s="26"/>
      <c r="G165" s="26"/>
      <c r="H165" s="41">
        <v>2021</v>
      </c>
      <c r="I165" s="41">
        <v>2022</v>
      </c>
      <c r="J165" s="41">
        <v>2023</v>
      </c>
      <c r="K165" s="41">
        <v>2024</v>
      </c>
      <c r="L165" s="41">
        <v>2025</v>
      </c>
    </row>
    <row r="166" spans="1:17" x14ac:dyDescent="0.3">
      <c r="A166" s="67"/>
      <c r="B166" s="67"/>
      <c r="C166" s="67"/>
      <c r="D166" t="s">
        <v>283</v>
      </c>
      <c r="H166" s="1">
        <v>0.10929999999999999</v>
      </c>
      <c r="I166" s="1">
        <v>0.13400000000000001</v>
      </c>
      <c r="J166" s="1">
        <v>0.1206</v>
      </c>
      <c r="K166" s="1">
        <v>0.10980000000000001</v>
      </c>
      <c r="L166" s="1">
        <v>0.1</v>
      </c>
    </row>
    <row r="167" spans="1:17" x14ac:dyDescent="0.3">
      <c r="A167" s="67"/>
      <c r="B167" s="67"/>
      <c r="C167" s="67"/>
      <c r="H167" s="4"/>
      <c r="I167" s="4"/>
      <c r="J167" s="4"/>
      <c r="K167" s="4"/>
      <c r="L167" s="4"/>
    </row>
    <row r="168" spans="1:17" x14ac:dyDescent="0.3">
      <c r="A168" s="67"/>
      <c r="B168" s="67"/>
      <c r="C168" s="67"/>
      <c r="H168" s="4"/>
      <c r="I168" s="4"/>
      <c r="J168" s="4"/>
      <c r="K168" s="4"/>
      <c r="L168" s="4"/>
    </row>
    <row r="170" spans="1:17" x14ac:dyDescent="0.3">
      <c r="A170" s="4" t="s">
        <v>275</v>
      </c>
    </row>
    <row r="171" spans="1:17" x14ac:dyDescent="0.3">
      <c r="D171" s="62" t="s">
        <v>2</v>
      </c>
      <c r="E171" s="63"/>
      <c r="F171" s="63"/>
      <c r="G171" s="63"/>
      <c r="H171" s="64">
        <f>'[1]Data Sheet'!B41</f>
        <v>45199</v>
      </c>
      <c r="I171" s="64">
        <f>'[1]Data Sheet'!C41</f>
        <v>45291</v>
      </c>
      <c r="J171" s="64">
        <f>'[1]Data Sheet'!D41</f>
        <v>45382</v>
      </c>
      <c r="K171" s="64">
        <f>'[1]Data Sheet'!E41</f>
        <v>45473</v>
      </c>
      <c r="L171" s="64">
        <f>'[1]Data Sheet'!F41</f>
        <v>45565</v>
      </c>
      <c r="M171" s="64">
        <f>'[1]Data Sheet'!G41</f>
        <v>45657</v>
      </c>
      <c r="N171" s="64">
        <f>'[1]Data Sheet'!H41</f>
        <v>45747</v>
      </c>
      <c r="O171" s="64">
        <f>'[1]Data Sheet'!I41</f>
        <v>45838</v>
      </c>
      <c r="P171" s="64">
        <f>'[1]Data Sheet'!J41</f>
        <v>45930</v>
      </c>
      <c r="Q171" s="64">
        <f>'[1]Data Sheet'!K41</f>
        <v>46022</v>
      </c>
    </row>
    <row r="172" spans="1:17" x14ac:dyDescent="0.3">
      <c r="D172" s="22" t="s">
        <v>163</v>
      </c>
      <c r="H172" s="23">
        <f>'[1]Data Sheet'!B42</f>
        <v>3440.17</v>
      </c>
      <c r="I172" s="23">
        <f>'[1]Data Sheet'!C42</f>
        <v>3323.87</v>
      </c>
      <c r="J172" s="23">
        <f>'[1]Data Sheet'!D42</f>
        <v>2935.82</v>
      </c>
      <c r="K172" s="23">
        <f>'[1]Data Sheet'!E42</f>
        <v>3031.82</v>
      </c>
      <c r="L172" s="23">
        <f>'[1]Data Sheet'!F42</f>
        <v>3414.67</v>
      </c>
      <c r="M172" s="23">
        <f>'[1]Data Sheet'!G42</f>
        <v>3374.28</v>
      </c>
      <c r="N172" s="23">
        <f>'[1]Data Sheet'!H42</f>
        <v>3143.75</v>
      </c>
      <c r="O172" s="23">
        <f>'[1]Data Sheet'!I42</f>
        <v>3371.14</v>
      </c>
      <c r="P172" s="23">
        <f>'[1]Data Sheet'!J42</f>
        <v>4000.99</v>
      </c>
      <c r="Q172" s="23">
        <f>'[1]Data Sheet'!K42</f>
        <v>3736.82</v>
      </c>
    </row>
    <row r="173" spans="1:17" x14ac:dyDescent="0.3">
      <c r="D173" t="s">
        <v>12</v>
      </c>
      <c r="H173" s="24">
        <f>'[1]Data Sheet'!B43</f>
        <v>2693.44</v>
      </c>
      <c r="I173" s="24">
        <f>'[1]Data Sheet'!C43</f>
        <v>2616.2800000000002</v>
      </c>
      <c r="J173" s="24">
        <f>'[1]Data Sheet'!D43</f>
        <v>2533.84</v>
      </c>
      <c r="K173" s="24">
        <f>'[1]Data Sheet'!E43</f>
        <v>2423.1799999999998</v>
      </c>
      <c r="L173" s="24">
        <f>'[1]Data Sheet'!F43</f>
        <v>2661.84</v>
      </c>
      <c r="M173" s="24">
        <f>'[1]Data Sheet'!G43</f>
        <v>2614.89</v>
      </c>
      <c r="N173" s="24">
        <f>'[1]Data Sheet'!H43</f>
        <v>2752.46</v>
      </c>
      <c r="O173" s="24">
        <f>'[1]Data Sheet'!I43</f>
        <v>2632.09</v>
      </c>
      <c r="P173" s="24">
        <f>'[1]Data Sheet'!J43</f>
        <v>3080.22</v>
      </c>
      <c r="Q173" s="24">
        <f>'[1]Data Sheet'!K43</f>
        <v>2908.82</v>
      </c>
    </row>
    <row r="174" spans="1:17" x14ac:dyDescent="0.3">
      <c r="D174" s="22" t="s">
        <v>164</v>
      </c>
      <c r="H174" s="23">
        <f>'[1]Data Sheet'!B50</f>
        <v>746.73</v>
      </c>
      <c r="I174" s="23">
        <f>'[1]Data Sheet'!C50</f>
        <v>707.59</v>
      </c>
      <c r="J174" s="23">
        <f>'[1]Data Sheet'!D50</f>
        <v>401.98</v>
      </c>
      <c r="K174" s="23">
        <f>'[1]Data Sheet'!E50</f>
        <v>608.64</v>
      </c>
      <c r="L174" s="23">
        <f>'[1]Data Sheet'!F50</f>
        <v>752.83</v>
      </c>
      <c r="M174" s="23">
        <f>'[1]Data Sheet'!G50</f>
        <v>759.39</v>
      </c>
      <c r="N174" s="23">
        <f>'[1]Data Sheet'!H50</f>
        <v>391.29</v>
      </c>
      <c r="O174" s="23">
        <f>'[1]Data Sheet'!I50</f>
        <v>739.05</v>
      </c>
      <c r="P174" s="23">
        <f>'[1]Data Sheet'!J50</f>
        <v>920.77</v>
      </c>
      <c r="Q174" s="23">
        <f>'[1]Data Sheet'!K50</f>
        <v>828</v>
      </c>
    </row>
    <row r="175" spans="1:17" x14ac:dyDescent="0.3">
      <c r="D175" t="s">
        <v>165</v>
      </c>
      <c r="H175" s="24">
        <f>'[1]Data Sheet'!B44</f>
        <v>5.53</v>
      </c>
      <c r="I175" s="24">
        <f>'[1]Data Sheet'!C44</f>
        <v>42.33</v>
      </c>
      <c r="J175" s="24">
        <f>'[1]Data Sheet'!D44</f>
        <v>75.650000000000006</v>
      </c>
      <c r="K175" s="24">
        <f>'[1]Data Sheet'!E44</f>
        <v>120.31</v>
      </c>
      <c r="L175" s="24">
        <f>'[1]Data Sheet'!F44</f>
        <v>134.47999999999999</v>
      </c>
      <c r="M175" s="24">
        <f>'[1]Data Sheet'!G44</f>
        <v>92.99</v>
      </c>
      <c r="N175" s="24">
        <f>'[1]Data Sheet'!H44</f>
        <v>145.96</v>
      </c>
      <c r="O175" s="24">
        <f>'[1]Data Sheet'!I44</f>
        <v>149.41999999999999</v>
      </c>
      <c r="P175" s="24">
        <f>'[1]Data Sheet'!J44</f>
        <v>103.69</v>
      </c>
      <c r="Q175" s="24">
        <f>'[1]Data Sheet'!K44</f>
        <v>90.31</v>
      </c>
    </row>
    <row r="176" spans="1:17" x14ac:dyDescent="0.3">
      <c r="D176" t="s">
        <v>166</v>
      </c>
      <c r="H176" s="24">
        <f>'[1]Data Sheet'!B45</f>
        <v>73.900000000000006</v>
      </c>
      <c r="I176" s="24">
        <f>'[1]Data Sheet'!C45</f>
        <v>69.56</v>
      </c>
      <c r="J176" s="24">
        <f>'[1]Data Sheet'!D45</f>
        <v>83.43</v>
      </c>
      <c r="K176" s="24">
        <f>'[1]Data Sheet'!E45</f>
        <v>80.48</v>
      </c>
      <c r="L176" s="24">
        <f>'[1]Data Sheet'!F45</f>
        <v>78.91</v>
      </c>
      <c r="M176" s="24">
        <f>'[1]Data Sheet'!G45</f>
        <v>85.28</v>
      </c>
      <c r="N176" s="24">
        <f>'[1]Data Sheet'!H45</f>
        <v>112.49</v>
      </c>
      <c r="O176" s="24">
        <f>'[1]Data Sheet'!I45</f>
        <v>87.68</v>
      </c>
      <c r="P176" s="24">
        <f>'[1]Data Sheet'!J45</f>
        <v>93.61</v>
      </c>
      <c r="Q176" s="24">
        <f>'[1]Data Sheet'!K45</f>
        <v>95.01</v>
      </c>
    </row>
    <row r="177" spans="4:17" x14ac:dyDescent="0.3">
      <c r="D177" t="s">
        <v>167</v>
      </c>
      <c r="H177" s="24">
        <f>'[1]Data Sheet'!B46</f>
        <v>30.32</v>
      </c>
      <c r="I177" s="24">
        <f>'[1]Data Sheet'!C46</f>
        <v>25.46</v>
      </c>
      <c r="J177" s="24">
        <f>'[1]Data Sheet'!D46</f>
        <v>26.86</v>
      </c>
      <c r="K177" s="24">
        <f>'[1]Data Sheet'!E46</f>
        <v>29.11</v>
      </c>
      <c r="L177" s="24">
        <f>'[1]Data Sheet'!F46</f>
        <v>28.14</v>
      </c>
      <c r="M177" s="24">
        <f>'[1]Data Sheet'!G46</f>
        <v>36.03</v>
      </c>
      <c r="N177" s="24">
        <f>'[1]Data Sheet'!H46</f>
        <v>28.42</v>
      </c>
      <c r="O177" s="24">
        <f>'[1]Data Sheet'!I46</f>
        <v>29.78</v>
      </c>
      <c r="P177" s="24">
        <f>'[1]Data Sheet'!J46</f>
        <v>35.020000000000003</v>
      </c>
      <c r="Q177" s="24">
        <f>'[1]Data Sheet'!K46</f>
        <v>42.1</v>
      </c>
    </row>
    <row r="178" spans="4:17" x14ac:dyDescent="0.3">
      <c r="D178" t="s">
        <v>168</v>
      </c>
      <c r="H178" s="24">
        <f>'[1]Data Sheet'!B47</f>
        <v>648.04</v>
      </c>
      <c r="I178" s="24">
        <f>'[1]Data Sheet'!C47</f>
        <v>654.9</v>
      </c>
      <c r="J178" s="24">
        <f>'[1]Data Sheet'!D47</f>
        <v>367.34</v>
      </c>
      <c r="K178" s="24">
        <f>'[1]Data Sheet'!E47</f>
        <v>619.36</v>
      </c>
      <c r="L178" s="24">
        <f>'[1]Data Sheet'!F47</f>
        <v>780.26</v>
      </c>
      <c r="M178" s="24">
        <f>'[1]Data Sheet'!G47</f>
        <v>731.07</v>
      </c>
      <c r="N178" s="24">
        <f>'[1]Data Sheet'!H47</f>
        <v>396.34</v>
      </c>
      <c r="O178" s="24">
        <f>'[1]Data Sheet'!I47</f>
        <v>771.01</v>
      </c>
      <c r="P178" s="24">
        <f>'[1]Data Sheet'!J47</f>
        <v>895.83</v>
      </c>
      <c r="Q178" s="24">
        <f>'[1]Data Sheet'!K47</f>
        <v>781.2</v>
      </c>
    </row>
    <row r="179" spans="4:17" x14ac:dyDescent="0.3">
      <c r="D179" t="s">
        <v>169</v>
      </c>
      <c r="H179" s="24">
        <f>'[1]Data Sheet'!B48</f>
        <v>33.15</v>
      </c>
      <c r="I179" s="24">
        <f>'[1]Data Sheet'!C48</f>
        <v>50.62</v>
      </c>
      <c r="J179" s="24">
        <f>'[1]Data Sheet'!D48</f>
        <v>62.86</v>
      </c>
      <c r="K179" s="24">
        <f>'[1]Data Sheet'!E48</f>
        <v>69.12</v>
      </c>
      <c r="L179" s="24">
        <f>'[1]Data Sheet'!F48</f>
        <v>78.3</v>
      </c>
      <c r="M179" s="24">
        <f>'[1]Data Sheet'!G48</f>
        <v>90.28</v>
      </c>
      <c r="N179" s="24">
        <f>'[1]Data Sheet'!H48</f>
        <v>73.33</v>
      </c>
      <c r="O179" s="24">
        <f>'[1]Data Sheet'!I48</f>
        <v>102.69</v>
      </c>
      <c r="P179" s="24">
        <f>'[1]Data Sheet'!J48</f>
        <v>116.23</v>
      </c>
      <c r="Q179" s="24">
        <f>'[1]Data Sheet'!K48</f>
        <v>127.67</v>
      </c>
    </row>
    <row r="180" spans="4:17" x14ac:dyDescent="0.3">
      <c r="D180" s="22" t="s">
        <v>170</v>
      </c>
      <c r="H180" s="23">
        <f>'[1]Data Sheet'!B49</f>
        <v>620.52</v>
      </c>
      <c r="I180" s="23">
        <f>'[1]Data Sheet'!C49</f>
        <v>594.96</v>
      </c>
      <c r="J180" s="23">
        <f>'[1]Data Sheet'!D49</f>
        <v>293.56</v>
      </c>
      <c r="K180" s="23">
        <f>'[1]Data Sheet'!E49</f>
        <v>545.16</v>
      </c>
      <c r="L180" s="23">
        <f>'[1]Data Sheet'!F49</f>
        <v>688.64</v>
      </c>
      <c r="M180" s="23">
        <f>'[1]Data Sheet'!G49</f>
        <v>625.82000000000005</v>
      </c>
      <c r="N180" s="23">
        <f>'[1]Data Sheet'!H49</f>
        <v>305.86</v>
      </c>
      <c r="O180" s="23">
        <f>'[1]Data Sheet'!I49</f>
        <v>664.26</v>
      </c>
      <c r="P180" s="23">
        <f>'[1]Data Sheet'!J49</f>
        <v>765.06</v>
      </c>
      <c r="Q180" s="23">
        <f>'[1]Data Sheet'!K49</f>
        <v>636.02</v>
      </c>
    </row>
    <row r="182" spans="4:17" x14ac:dyDescent="0.3">
      <c r="D182" s="22" t="s">
        <v>171</v>
      </c>
      <c r="H182" s="25">
        <f t="shared" ref="H182:Q182" si="0">IF(H172&gt;0,H174/H172,"")</f>
        <v>0.21706194752003535</v>
      </c>
      <c r="I182" s="25">
        <f t="shared" si="0"/>
        <v>0.21288137021002629</v>
      </c>
      <c r="J182" s="25">
        <f t="shared" si="0"/>
        <v>0.13692256337241385</v>
      </c>
      <c r="K182" s="25">
        <f t="shared" si="0"/>
        <v>0.20075070419747873</v>
      </c>
      <c r="L182" s="25">
        <f t="shared" si="0"/>
        <v>0.2204693279291996</v>
      </c>
      <c r="M182" s="25">
        <f t="shared" si="0"/>
        <v>0.22505245563497989</v>
      </c>
      <c r="N182" s="25">
        <f t="shared" si="0"/>
        <v>0.12446600397614314</v>
      </c>
      <c r="O182" s="25">
        <f t="shared" si="0"/>
        <v>0.21922851023689316</v>
      </c>
      <c r="P182" s="25">
        <f t="shared" si="0"/>
        <v>0.23013554145349027</v>
      </c>
      <c r="Q182" s="25">
        <f t="shared" si="0"/>
        <v>0.22157877553641867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4D503-F6B2-482D-AD79-DC25781CBA8D}">
  <dimension ref="A1:S188"/>
  <sheetViews>
    <sheetView showGridLines="0" tabSelected="1" zoomScale="58" zoomScaleNormal="72" workbookViewId="0">
      <pane xSplit="6" ySplit="2" topLeftCell="G135" activePane="bottomRight" state="frozen"/>
      <selection pane="topRight" activeCell="G1" sqref="G1"/>
      <selection pane="bottomLeft" activeCell="A3" sqref="A3"/>
      <selection pane="bottomRight" activeCell="E158" sqref="E158"/>
    </sheetView>
  </sheetViews>
  <sheetFormatPr defaultColWidth="11.77734375" defaultRowHeight="14.4" outlineLevelRow="1" x14ac:dyDescent="0.3"/>
  <cols>
    <col min="1" max="3" width="1.33203125" style="1" customWidth="1"/>
    <col min="4" max="4" width="43.77734375" customWidth="1"/>
    <col min="5" max="5" width="13.88671875" bestFit="1" customWidth="1"/>
    <col min="6" max="6" width="12.77734375" customWidth="1"/>
    <col min="7" max="7" width="2.77734375" customWidth="1"/>
    <col min="8" max="8" width="11.44140625" customWidth="1"/>
    <col min="9" max="9" width="13.21875" bestFit="1" customWidth="1"/>
    <col min="10" max="10" width="13.88671875" bestFit="1" customWidth="1"/>
    <col min="11" max="12" width="13.21875" bestFit="1" customWidth="1"/>
    <col min="14" max="14" width="12.5546875" bestFit="1" customWidth="1"/>
    <col min="16" max="17" width="12.5546875" bestFit="1" customWidth="1"/>
    <col min="18" max="18" width="16.21875" bestFit="1" customWidth="1"/>
  </cols>
  <sheetData>
    <row r="1" spans="1:17" ht="32.4" x14ac:dyDescent="0.6">
      <c r="A1" s="9" t="str">
        <f>Historicals!A1</f>
        <v>Alkem Laboratories Limited</v>
      </c>
      <c r="B1" s="6"/>
      <c r="C1" s="6"/>
      <c r="D1" s="7"/>
      <c r="E1" s="7"/>
      <c r="F1" s="7"/>
      <c r="G1" s="7"/>
      <c r="H1" s="33" t="s">
        <v>173</v>
      </c>
      <c r="I1" s="32"/>
      <c r="J1" s="32"/>
      <c r="K1" s="32"/>
      <c r="L1" s="32"/>
      <c r="M1" s="57" t="s">
        <v>174</v>
      </c>
      <c r="N1" s="58"/>
      <c r="O1" s="58"/>
      <c r="P1" s="58"/>
      <c r="Q1" s="58"/>
    </row>
    <row r="2" spans="1:17" ht="19.8" x14ac:dyDescent="0.4">
      <c r="A2" s="28" t="s">
        <v>172</v>
      </c>
      <c r="B2" s="6"/>
      <c r="C2" s="6"/>
      <c r="D2" s="7"/>
      <c r="E2" s="7"/>
      <c r="F2" s="7"/>
      <c r="G2" s="7"/>
      <c r="H2" s="27">
        <v>2021</v>
      </c>
      <c r="I2" s="27">
        <f t="shared" ref="I2:Q2" si="0">H2+1</f>
        <v>2022</v>
      </c>
      <c r="J2" s="27">
        <f t="shared" si="0"/>
        <v>2023</v>
      </c>
      <c r="K2" s="27">
        <f t="shared" si="0"/>
        <v>2024</v>
      </c>
      <c r="L2" s="27">
        <f t="shared" si="0"/>
        <v>2025</v>
      </c>
      <c r="M2" s="59">
        <f t="shared" si="0"/>
        <v>2026</v>
      </c>
      <c r="N2" s="60">
        <f t="shared" si="0"/>
        <v>2027</v>
      </c>
      <c r="O2" s="60">
        <f t="shared" si="0"/>
        <v>2028</v>
      </c>
      <c r="P2" s="60">
        <f t="shared" si="0"/>
        <v>2029</v>
      </c>
      <c r="Q2" s="60">
        <f t="shared" si="0"/>
        <v>2030</v>
      </c>
    </row>
    <row r="3" spans="1:17" x14ac:dyDescent="0.3">
      <c r="L3" s="29"/>
    </row>
    <row r="4" spans="1:17" ht="21" x14ac:dyDescent="0.4">
      <c r="A4" s="35" t="s">
        <v>259</v>
      </c>
      <c r="B4" s="36"/>
      <c r="C4" s="36"/>
      <c r="D4" s="37"/>
      <c r="E4" s="37"/>
      <c r="F4" s="37"/>
      <c r="G4" s="37"/>
      <c r="H4" s="37"/>
      <c r="I4" s="37"/>
      <c r="J4" s="37"/>
      <c r="K4" s="37"/>
      <c r="L4" s="37"/>
      <c r="M4" s="133"/>
      <c r="N4" s="61"/>
      <c r="O4" s="61"/>
      <c r="P4" s="61"/>
      <c r="Q4" s="61"/>
    </row>
    <row r="6" spans="1:17" ht="15" thickBot="1" x14ac:dyDescent="0.35">
      <c r="D6" s="69" t="s">
        <v>287</v>
      </c>
      <c r="E6" s="179" t="s">
        <v>277</v>
      </c>
      <c r="F6" s="69" t="s">
        <v>6</v>
      </c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</row>
    <row r="7" spans="1:17" x14ac:dyDescent="0.3">
      <c r="D7" s="4" t="s">
        <v>271</v>
      </c>
      <c r="F7" t="s">
        <v>270</v>
      </c>
      <c r="H7" s="53"/>
      <c r="I7" s="53">
        <f>(I24-H24)/H24</f>
        <v>0.19956886681458891</v>
      </c>
      <c r="J7" s="53">
        <f>(J24-I24)/I24</f>
        <v>9.075162283164033E-2</v>
      </c>
      <c r="K7" s="53">
        <f>(K24-J24)/J24</f>
        <v>9.2102427223805627E-2</v>
      </c>
      <c r="L7" s="53">
        <f>(L24-K24)/K24</f>
        <v>2.3440941363701624E-2</v>
      </c>
      <c r="M7" s="53" cm="1">
        <f t="array" ref="M7:Q7">_xlfn.XLOOKUP($E$6, Scenarios!D5:D7,Scenarios!H5:L7,,0)</f>
        <v>0.1</v>
      </c>
      <c r="N7" s="53">
        <v>8.900000000000001E-2</v>
      </c>
      <c r="O7" s="53">
        <v>7.9210000000000017E-2</v>
      </c>
      <c r="P7" s="53">
        <v>7.0496900000000015E-2</v>
      </c>
      <c r="Q7" s="53">
        <v>6.2742241000000018E-2</v>
      </c>
    </row>
    <row r="8" spans="1:17" x14ac:dyDescent="0.3">
      <c r="D8" t="s">
        <v>260</v>
      </c>
      <c r="F8" t="s">
        <v>270</v>
      </c>
      <c r="H8" s="53">
        <f>-H25/H24</f>
        <v>0.39463689268258012</v>
      </c>
      <c r="I8" s="53">
        <f>-I25/I24</f>
        <v>0.39309905126765649</v>
      </c>
      <c r="J8" s="53">
        <f>-J25/J24</f>
        <v>0.42303043470014462</v>
      </c>
      <c r="K8" s="53">
        <f>-K25/K24</f>
        <v>0.38978084211822622</v>
      </c>
      <c r="L8" s="53">
        <f>-L25/L24</f>
        <v>0.36748448843458908</v>
      </c>
      <c r="M8" s="53">
        <f t="shared" ref="M8:M19" si="1">AVERAGE($I8:$L8)</f>
        <v>0.3933487041301541</v>
      </c>
      <c r="N8" s="53">
        <f t="shared" ref="N8:Q19" si="2">AVERAGE($I8:$L8)</f>
        <v>0.3933487041301541</v>
      </c>
      <c r="O8" s="53">
        <f t="shared" si="2"/>
        <v>0.3933487041301541</v>
      </c>
      <c r="P8" s="53">
        <f t="shared" si="2"/>
        <v>0.3933487041301541</v>
      </c>
      <c r="Q8" s="53">
        <f t="shared" si="2"/>
        <v>0.3933487041301541</v>
      </c>
    </row>
    <row r="9" spans="1:17" x14ac:dyDescent="0.3">
      <c r="D9" t="s">
        <v>263</v>
      </c>
      <c r="F9" t="s">
        <v>270</v>
      </c>
      <c r="H9" s="53">
        <f>-H28/H24</f>
        <v>0.18285709773593034</v>
      </c>
      <c r="I9" s="53">
        <f>-I28/I24</f>
        <v>0.18456600831845207</v>
      </c>
      <c r="J9" s="53">
        <f>-J28/J24</f>
        <v>0.18374879087114177</v>
      </c>
      <c r="K9" s="53">
        <f>-K28/K24</f>
        <v>0.17375141897663168</v>
      </c>
      <c r="L9" s="53">
        <f>-L28/L24</f>
        <v>0.18927966480826133</v>
      </c>
      <c r="M9" s="53">
        <f t="shared" si="1"/>
        <v>0.18283647074362172</v>
      </c>
      <c r="N9" s="53">
        <f t="shared" si="2"/>
        <v>0.18283647074362172</v>
      </c>
      <c r="O9" s="53">
        <f t="shared" si="2"/>
        <v>0.18283647074362172</v>
      </c>
      <c r="P9" s="53">
        <f t="shared" si="2"/>
        <v>0.18283647074362172</v>
      </c>
      <c r="Q9" s="53">
        <f t="shared" si="2"/>
        <v>0.18283647074362172</v>
      </c>
    </row>
    <row r="10" spans="1:17" x14ac:dyDescent="0.3">
      <c r="D10" t="s">
        <v>264</v>
      </c>
      <c r="F10" t="s">
        <v>270</v>
      </c>
      <c r="H10" s="53">
        <f>-H29/H24</f>
        <v>0.20339852972529077</v>
      </c>
      <c r="I10" s="53">
        <f>-I29/I24</f>
        <v>0.22928591646378335</v>
      </c>
      <c r="J10" s="53">
        <f>-J29/J24</f>
        <v>0.25446623319073802</v>
      </c>
      <c r="K10" s="53">
        <f>-K29/K24</f>
        <v>0.25920499416621012</v>
      </c>
      <c r="L10" s="53">
        <f>-L29/L24</f>
        <v>0.24946469286946221</v>
      </c>
      <c r="M10" s="53">
        <f t="shared" si="1"/>
        <v>0.24810545917254845</v>
      </c>
      <c r="N10" s="53">
        <f t="shared" si="2"/>
        <v>0.24810545917254845</v>
      </c>
      <c r="O10" s="53">
        <f t="shared" si="2"/>
        <v>0.24810545917254845</v>
      </c>
      <c r="P10" s="53">
        <f t="shared" si="2"/>
        <v>0.24810545917254845</v>
      </c>
      <c r="Q10" s="53">
        <f t="shared" si="2"/>
        <v>0.24810545917254845</v>
      </c>
    </row>
    <row r="11" spans="1:17" x14ac:dyDescent="0.3">
      <c r="D11" t="s">
        <v>262</v>
      </c>
      <c r="F11" t="s">
        <v>270</v>
      </c>
      <c r="H11" s="53"/>
      <c r="I11" s="53">
        <f>-I31/H51</f>
        <v>0.10891227466703932</v>
      </c>
      <c r="J11" s="53">
        <f>-J31/I51</f>
        <v>0.10937522021619944</v>
      </c>
      <c r="K11" s="53">
        <f>-K31/J51</f>
        <v>0.11542970859108649</v>
      </c>
      <c r="L11" s="53">
        <f>-L31/K51</f>
        <v>0.13660163466061861</v>
      </c>
      <c r="M11" s="53">
        <f t="shared" si="1"/>
        <v>0.11757970953373598</v>
      </c>
      <c r="N11" s="53">
        <f t="shared" si="2"/>
        <v>0.11757970953373598</v>
      </c>
      <c r="O11" s="53">
        <f t="shared" si="2"/>
        <v>0.11757970953373598</v>
      </c>
      <c r="P11" s="53">
        <f t="shared" si="2"/>
        <v>0.11757970953373598</v>
      </c>
      <c r="Q11" s="53">
        <f t="shared" si="2"/>
        <v>0.11757970953373598</v>
      </c>
    </row>
    <row r="12" spans="1:17" x14ac:dyDescent="0.3">
      <c r="D12" t="s">
        <v>261</v>
      </c>
      <c r="F12" t="s">
        <v>270</v>
      </c>
      <c r="H12" s="53"/>
      <c r="I12" s="53">
        <f>-I33/H62</f>
        <v>2.9224656525184436E-2</v>
      </c>
      <c r="J12" s="53">
        <f>-J33/I62</f>
        <v>4.0237014605406657E-2</v>
      </c>
      <c r="K12" s="53">
        <f>-K33/J62</f>
        <v>8.0483718532519968E-2</v>
      </c>
      <c r="L12" s="53">
        <f>-L33/K62</f>
        <v>8.5800297516232957E-2</v>
      </c>
      <c r="M12" s="53">
        <f t="shared" si="1"/>
        <v>5.8936421794836005E-2</v>
      </c>
      <c r="N12" s="53">
        <f t="shared" si="2"/>
        <v>5.8936421794836005E-2</v>
      </c>
      <c r="O12" s="53">
        <f t="shared" si="2"/>
        <v>5.8936421794836005E-2</v>
      </c>
      <c r="P12" s="53">
        <f t="shared" si="2"/>
        <v>5.8936421794836005E-2</v>
      </c>
      <c r="Q12" s="53">
        <f t="shared" si="2"/>
        <v>5.8936421794836005E-2</v>
      </c>
    </row>
    <row r="13" spans="1:17" x14ac:dyDescent="0.3">
      <c r="D13" t="s">
        <v>265</v>
      </c>
      <c r="F13" t="s">
        <v>270</v>
      </c>
      <c r="H13" s="53">
        <f>H34/H24</f>
        <v>2.6306794916192984E-2</v>
      </c>
      <c r="I13" s="53">
        <f>I34/I24</f>
        <v>1.3888222798351358E-2</v>
      </c>
      <c r="J13" s="53">
        <f>J34/J24</f>
        <v>9.7506220224393633E-3</v>
      </c>
      <c r="K13" s="53">
        <f>K34/K24</f>
        <v>1.4947606409432582E-2</v>
      </c>
      <c r="L13" s="53">
        <f>L34/L24</f>
        <v>3.8083939860480753E-2</v>
      </c>
      <c r="M13" s="53">
        <f t="shared" si="1"/>
        <v>1.9167597772676015E-2</v>
      </c>
      <c r="N13" s="53">
        <f t="shared" si="2"/>
        <v>1.9167597772676015E-2</v>
      </c>
      <c r="O13" s="53">
        <f t="shared" si="2"/>
        <v>1.9167597772676015E-2</v>
      </c>
      <c r="P13" s="53">
        <f t="shared" si="2"/>
        <v>1.9167597772676015E-2</v>
      </c>
      <c r="Q13" s="53">
        <f t="shared" si="2"/>
        <v>1.9167597772676015E-2</v>
      </c>
    </row>
    <row r="14" spans="1:17" x14ac:dyDescent="0.3">
      <c r="D14" t="s">
        <v>266</v>
      </c>
      <c r="F14" t="s">
        <v>270</v>
      </c>
      <c r="H14" s="53">
        <f>-H36/H35</f>
        <v>0.12177949079854508</v>
      </c>
      <c r="I14" s="53">
        <f>-I36/I35</f>
        <v>8.8901902097295399E-2</v>
      </c>
      <c r="J14" s="53">
        <f>-J36/J35</f>
        <v>0.22836208680457074</v>
      </c>
      <c r="K14" s="53">
        <f>-K36/K35</f>
        <v>0.10462501173923572</v>
      </c>
      <c r="L14" s="53">
        <f>-L36/L35</f>
        <v>0.12308124557286614</v>
      </c>
      <c r="M14" s="53">
        <f t="shared" si="1"/>
        <v>0.13624256155349199</v>
      </c>
      <c r="N14" s="53">
        <f t="shared" si="2"/>
        <v>0.13624256155349199</v>
      </c>
      <c r="O14" s="53">
        <f t="shared" si="2"/>
        <v>0.13624256155349199</v>
      </c>
      <c r="P14" s="53">
        <f t="shared" si="2"/>
        <v>0.13624256155349199</v>
      </c>
      <c r="Q14" s="53">
        <f t="shared" si="2"/>
        <v>0.13624256155349199</v>
      </c>
    </row>
    <row r="15" spans="1:17" x14ac:dyDescent="0.3">
      <c r="D15" t="s">
        <v>267</v>
      </c>
      <c r="F15" t="s">
        <v>270</v>
      </c>
      <c r="H15" s="53">
        <f>-H96/H37</f>
        <v>0.20693918171309875</v>
      </c>
      <c r="I15" s="53">
        <f>-I96/I37</f>
        <v>0.25108907827080551</v>
      </c>
      <c r="J15" s="53">
        <f>-J96/J37</f>
        <v>0.52593835976996606</v>
      </c>
      <c r="K15" s="53">
        <f>-K96/K37</f>
        <v>0.29837258344098128</v>
      </c>
      <c r="L15" s="53">
        <f>-L96/L37</f>
        <v>0.22771660649819483</v>
      </c>
      <c r="M15" s="53">
        <f t="shared" si="1"/>
        <v>0.32577915699498694</v>
      </c>
      <c r="N15" s="53">
        <f t="shared" si="2"/>
        <v>0.32577915699498694</v>
      </c>
      <c r="O15" s="53">
        <f t="shared" si="2"/>
        <v>0.32577915699498694</v>
      </c>
      <c r="P15" s="53">
        <f t="shared" si="2"/>
        <v>0.32577915699498694</v>
      </c>
      <c r="Q15" s="53">
        <f t="shared" si="2"/>
        <v>0.32577915699498694</v>
      </c>
    </row>
    <row r="16" spans="1:17" x14ac:dyDescent="0.3">
      <c r="D16" t="s">
        <v>268</v>
      </c>
      <c r="F16" t="s">
        <v>272</v>
      </c>
      <c r="H16" s="55">
        <f>(H46/H24)*365</f>
        <v>66.173828343115233</v>
      </c>
      <c r="I16" s="55">
        <f>(I46/I24)*365</f>
        <v>64.685603699012347</v>
      </c>
      <c r="J16" s="55">
        <f>(J46/J24)*365</f>
        <v>67.094426713428263</v>
      </c>
      <c r="K16" s="55">
        <f>(K46/K24)*365</f>
        <v>64.911818200477114</v>
      </c>
      <c r="L16" s="55">
        <f>(L46/L24)*365</f>
        <v>69.434213530466224</v>
      </c>
      <c r="M16" s="55">
        <f t="shared" si="1"/>
        <v>66.531515535845983</v>
      </c>
      <c r="N16" s="55">
        <f t="shared" si="2"/>
        <v>66.531515535845983</v>
      </c>
      <c r="O16" s="55">
        <f t="shared" si="2"/>
        <v>66.531515535845983</v>
      </c>
      <c r="P16" s="55">
        <f t="shared" si="2"/>
        <v>66.531515535845983</v>
      </c>
      <c r="Q16" s="55">
        <f t="shared" si="2"/>
        <v>66.531515535845983</v>
      </c>
    </row>
    <row r="17" spans="1:19" x14ac:dyDescent="0.3">
      <c r="D17" t="s">
        <v>273</v>
      </c>
      <c r="F17" t="s">
        <v>272</v>
      </c>
      <c r="H17" s="55">
        <f>(-H47/H25)*365</f>
        <v>241.26061181205449</v>
      </c>
      <c r="I17" s="55">
        <f>(-I47/I25)*365</f>
        <v>262.42639864698384</v>
      </c>
      <c r="J17" s="55">
        <f>(-J47/J25)*365</f>
        <v>193.96362017102661</v>
      </c>
      <c r="K17" s="55">
        <f>(-K47/K25)*365</f>
        <v>196.72201766857447</v>
      </c>
      <c r="L17" s="55">
        <f>(-L47/L25)*365</f>
        <v>223.89198952198245</v>
      </c>
      <c r="M17" s="55">
        <f t="shared" si="1"/>
        <v>219.25100650214182</v>
      </c>
      <c r="N17" s="55">
        <f t="shared" si="2"/>
        <v>219.25100650214182</v>
      </c>
      <c r="O17" s="55">
        <f t="shared" si="2"/>
        <v>219.25100650214182</v>
      </c>
      <c r="P17" s="55">
        <f t="shared" si="2"/>
        <v>219.25100650214182</v>
      </c>
      <c r="Q17" s="55">
        <f t="shared" si="2"/>
        <v>219.25100650214182</v>
      </c>
    </row>
    <row r="18" spans="1:19" x14ac:dyDescent="0.3">
      <c r="D18" s="4" t="s">
        <v>205</v>
      </c>
      <c r="F18" t="s">
        <v>272</v>
      </c>
      <c r="H18" s="55">
        <f>-(H59/H25)*365</f>
        <v>111.57327795658662</v>
      </c>
      <c r="I18" s="55">
        <f>-(I59/I25)*365</f>
        <v>102.45310732030555</v>
      </c>
      <c r="J18" s="55">
        <f>-(J59/J25)*365</f>
        <v>86.661874037058496</v>
      </c>
      <c r="K18" s="55">
        <f>-(K59/K25)*365</f>
        <v>129.2260176037654</v>
      </c>
      <c r="L18" s="55">
        <f>-(L59/L25)*365</f>
        <v>140.91648020888871</v>
      </c>
      <c r="M18" s="55">
        <f t="shared" si="1"/>
        <v>114.81436979250455</v>
      </c>
      <c r="N18" s="55">
        <f t="shared" si="2"/>
        <v>114.81436979250455</v>
      </c>
      <c r="O18" s="55">
        <f t="shared" si="2"/>
        <v>114.81436979250455</v>
      </c>
      <c r="P18" s="55">
        <f t="shared" si="2"/>
        <v>114.81436979250455</v>
      </c>
      <c r="Q18" s="55">
        <f t="shared" si="2"/>
        <v>114.81436979250455</v>
      </c>
    </row>
    <row r="19" spans="1:19" x14ac:dyDescent="0.3">
      <c r="D19" t="s">
        <v>269</v>
      </c>
      <c r="F19" t="s">
        <v>274</v>
      </c>
      <c r="H19" s="54">
        <f>H24/H51</f>
        <v>3.1764324386302483</v>
      </c>
      <c r="I19" s="54">
        <f>I24/I51</f>
        <v>3.7469134497484249</v>
      </c>
      <c r="J19" s="54">
        <f>J24/J51</f>
        <v>4.4734353547352024</v>
      </c>
      <c r="K19" s="54">
        <f>K24/K51</f>
        <v>4.844921422315374</v>
      </c>
      <c r="L19" s="54">
        <f>L24/L51</f>
        <v>4.354499256029853</v>
      </c>
      <c r="M19" s="54">
        <f t="shared" si="1"/>
        <v>4.3549423707072137</v>
      </c>
      <c r="N19" s="54">
        <f t="shared" si="2"/>
        <v>4.3549423707072137</v>
      </c>
      <c r="O19" s="54">
        <f t="shared" si="2"/>
        <v>4.3549423707072137</v>
      </c>
      <c r="P19" s="54">
        <f t="shared" si="2"/>
        <v>4.3549423707072137</v>
      </c>
      <c r="Q19" s="54">
        <f t="shared" si="2"/>
        <v>4.3549423707072137</v>
      </c>
    </row>
    <row r="20" spans="1:19" x14ac:dyDescent="0.3">
      <c r="H20" s="56"/>
      <c r="I20" s="56"/>
      <c r="J20" s="56"/>
      <c r="K20" s="56"/>
      <c r="L20" s="56"/>
      <c r="M20" s="56"/>
      <c r="N20" s="56"/>
      <c r="O20" s="56"/>
      <c r="P20" s="56"/>
      <c r="Q20" s="56"/>
    </row>
    <row r="22" spans="1:19" ht="21" x14ac:dyDescent="0.4">
      <c r="A22" s="35" t="s">
        <v>175</v>
      </c>
      <c r="B22" s="36"/>
      <c r="C22" s="36"/>
      <c r="D22" s="37"/>
      <c r="E22" s="37"/>
      <c r="F22" s="37"/>
      <c r="G22" s="37"/>
      <c r="H22" s="37"/>
      <c r="I22" s="37"/>
      <c r="J22" s="37"/>
      <c r="K22" s="37"/>
      <c r="L22" s="37"/>
      <c r="M22" s="133"/>
      <c r="N22" s="61"/>
      <c r="O22" s="61"/>
      <c r="P22" s="61"/>
      <c r="Q22" s="61"/>
    </row>
    <row r="23" spans="1:19" outlineLevel="1" x14ac:dyDescent="0.3">
      <c r="B23" s="34" t="s">
        <v>11</v>
      </c>
    </row>
    <row r="24" spans="1:19" outlineLevel="1" x14ac:dyDescent="0.3">
      <c r="D24" s="4" t="s">
        <v>176</v>
      </c>
      <c r="E24" s="4"/>
      <c r="F24" s="4" t="s">
        <v>177</v>
      </c>
      <c r="G24" s="4"/>
      <c r="H24" s="44" cm="1">
        <f t="array" ref="H24:L24">Historicals!H6:L6</f>
        <v>88650.1</v>
      </c>
      <c r="I24" s="44">
        <v>106341.9</v>
      </c>
      <c r="J24" s="44">
        <v>115992.6</v>
      </c>
      <c r="K24" s="44">
        <v>126675.8</v>
      </c>
      <c r="L24" s="44">
        <v>129645.2</v>
      </c>
      <c r="M24" s="39">
        <f>L24*(1+M7)</f>
        <v>142609.72</v>
      </c>
      <c r="N24" s="39">
        <f>M24*(1+N7)</f>
        <v>155301.98507999998</v>
      </c>
      <c r="O24" s="39">
        <f>N24*(1+O7)</f>
        <v>167603.45531818678</v>
      </c>
      <c r="P24" s="39">
        <f>O24*(1+P7)</f>
        <v>179418.97934740747</v>
      </c>
      <c r="Q24" s="39">
        <f>P24*(1+Q7)</f>
        <v>190676.12818959652</v>
      </c>
      <c r="R24" s="39"/>
    </row>
    <row r="25" spans="1:19" outlineLevel="1" x14ac:dyDescent="0.3">
      <c r="D25" t="s">
        <v>178</v>
      </c>
      <c r="F25" t="s">
        <v>177</v>
      </c>
      <c r="H25" s="43">
        <f>-SUM(Historicals!H10:H12)</f>
        <v>-34984.6</v>
      </c>
      <c r="I25" s="43">
        <f>-SUM(Historicals!I10:I12)</f>
        <v>-41802.899999999994</v>
      </c>
      <c r="J25" s="43">
        <f>-SUM(Historicals!J10:J12)</f>
        <v>-49068.399999999994</v>
      </c>
      <c r="K25" s="43">
        <f>-SUM(Historicals!K10:K12)</f>
        <v>-49375.8</v>
      </c>
      <c r="L25" s="43">
        <f>-SUM(Historicals!L10:L12)</f>
        <v>-47642.599999999991</v>
      </c>
      <c r="M25" s="39">
        <f>-M24*M8</f>
        <v>-56095.348558364123</v>
      </c>
      <c r="N25" s="39">
        <f>-N24*N8</f>
        <v>-61087.834580058523</v>
      </c>
      <c r="O25" s="39">
        <f>-O24*O8</f>
        <v>-65926.601957144958</v>
      </c>
      <c r="P25" s="39">
        <f>-P24*P8</f>
        <v>-70574.223022657607</v>
      </c>
      <c r="Q25" s="39">
        <f>-Q24*Q8</f>
        <v>-75002.207931932935</v>
      </c>
      <c r="R25" s="39"/>
      <c r="S25" s="39"/>
    </row>
    <row r="26" spans="1:19" outlineLevel="1" x14ac:dyDescent="0.3">
      <c r="D26" s="26" t="s">
        <v>179</v>
      </c>
      <c r="E26" s="41"/>
      <c r="F26" s="26" t="s">
        <v>177</v>
      </c>
      <c r="G26" s="41"/>
      <c r="H26" s="42">
        <f>SUM(H24:H25)</f>
        <v>53665.500000000007</v>
      </c>
      <c r="I26" s="42">
        <f>SUM(I24:I25)</f>
        <v>64539</v>
      </c>
      <c r="J26" s="42">
        <f>SUM(J24:J25)</f>
        <v>66924.200000000012</v>
      </c>
      <c r="K26" s="42">
        <f>SUM(K24:K25)</f>
        <v>77300</v>
      </c>
      <c r="L26" s="42">
        <f>SUM(L24:L25)</f>
        <v>82002.600000000006</v>
      </c>
      <c r="M26" s="42">
        <f>M25+M24</f>
        <v>86514.371441635885</v>
      </c>
      <c r="N26" s="42">
        <f>N25+N24</f>
        <v>94214.150499941461</v>
      </c>
      <c r="O26" s="42">
        <f>O25+O24</f>
        <v>101676.85336104182</v>
      </c>
      <c r="P26" s="42">
        <f>P25+P24</f>
        <v>108844.75632474986</v>
      </c>
      <c r="Q26" s="42">
        <f>Q25+Q24</f>
        <v>115673.92025766359</v>
      </c>
      <c r="R26" s="39"/>
      <c r="S26" s="39"/>
    </row>
    <row r="27" spans="1:19" outlineLevel="1" x14ac:dyDescent="0.3">
      <c r="C27" s="34" t="s">
        <v>180</v>
      </c>
      <c r="D27" s="4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</row>
    <row r="28" spans="1:19" outlineLevel="1" x14ac:dyDescent="0.3">
      <c r="D28" t="s">
        <v>181</v>
      </c>
      <c r="F28" t="s">
        <v>177</v>
      </c>
      <c r="H28" s="43" cm="1">
        <f t="array" ref="H28:L28">-Historicals!H13:L13</f>
        <v>-16210.3</v>
      </c>
      <c r="I28" s="43">
        <v>-19627.099999999999</v>
      </c>
      <c r="J28" s="43">
        <v>-21313.5</v>
      </c>
      <c r="K28" s="43">
        <v>-22010.1</v>
      </c>
      <c r="L28" s="43">
        <v>-24539.200000000001</v>
      </c>
      <c r="M28" s="39">
        <f>-M24*M9</f>
        <v>-26074.257898536085</v>
      </c>
      <c r="N28" s="39">
        <f>-N24*N9</f>
        <v>-28394.866851505794</v>
      </c>
      <c r="O28" s="39">
        <f>-O24*O9</f>
        <v>-30644.024254813568</v>
      </c>
      <c r="P28" s="39">
        <f>-P24*P9</f>
        <v>-32804.332968302733</v>
      </c>
      <c r="Q28" s="39">
        <f>-Q24*Q9</f>
        <v>-34862.550333244231</v>
      </c>
      <c r="R28" s="39"/>
      <c r="S28" s="39"/>
    </row>
    <row r="29" spans="1:19" outlineLevel="1" x14ac:dyDescent="0.3">
      <c r="D29" t="s">
        <v>182</v>
      </c>
      <c r="F29" t="s">
        <v>177</v>
      </c>
      <c r="H29" s="43" cm="1">
        <f t="array" ref="H29:L29">-Historicals!H16:L16</f>
        <v>-18031.3</v>
      </c>
      <c r="I29" s="43">
        <v>-24382.7</v>
      </c>
      <c r="J29" s="43">
        <v>-29516.2</v>
      </c>
      <c r="K29" s="43">
        <v>-32835</v>
      </c>
      <c r="L29" s="43">
        <v>-32341.9</v>
      </c>
      <c r="M29" s="39">
        <f>-M24*M10</f>
        <v>-35382.250063068568</v>
      </c>
      <c r="N29" s="39">
        <f>-N24*N10</f>
        <v>-38531.270318681665</v>
      </c>
      <c r="O29" s="39">
        <f>-O24*O10</f>
        <v>-41583.332240624441</v>
      </c>
      <c r="P29" s="39">
        <f>-P24*P10</f>
        <v>-44514.828255258515</v>
      </c>
      <c r="Q29" s="39">
        <f>-Q24*Q10</f>
        <v>-47307.788337723556</v>
      </c>
      <c r="R29" s="39"/>
      <c r="S29" s="39"/>
    </row>
    <row r="30" spans="1:19" outlineLevel="1" x14ac:dyDescent="0.3">
      <c r="D30" s="41" t="s">
        <v>183</v>
      </c>
      <c r="E30" s="41"/>
      <c r="F30" s="26" t="s">
        <v>177</v>
      </c>
      <c r="G30" s="41"/>
      <c r="H30" s="42">
        <f t="shared" ref="H30:Q30" si="3">SUM(H26:H29)</f>
        <v>19423.900000000012</v>
      </c>
      <c r="I30" s="42">
        <f t="shared" si="3"/>
        <v>20529.2</v>
      </c>
      <c r="J30" s="42">
        <f t="shared" si="3"/>
        <v>16094.500000000011</v>
      </c>
      <c r="K30" s="42">
        <f t="shared" si="3"/>
        <v>22454.9</v>
      </c>
      <c r="L30" s="42">
        <f t="shared" si="3"/>
        <v>25121.500000000007</v>
      </c>
      <c r="M30" s="42">
        <f t="shared" si="3"/>
        <v>25057.863480031228</v>
      </c>
      <c r="N30" s="42">
        <f t="shared" si="3"/>
        <v>27288.013329754001</v>
      </c>
      <c r="O30" s="42">
        <f t="shared" si="3"/>
        <v>29449.496865603811</v>
      </c>
      <c r="P30" s="42">
        <f t="shared" si="3"/>
        <v>31525.595101188621</v>
      </c>
      <c r="Q30" s="42">
        <f t="shared" si="3"/>
        <v>33503.5815866958</v>
      </c>
      <c r="R30" s="39"/>
      <c r="S30" s="39"/>
    </row>
    <row r="31" spans="1:19" outlineLevel="1" x14ac:dyDescent="0.3">
      <c r="D31" t="str">
        <f>Historicals!D15</f>
        <v>Depreciation and amortisation expense</v>
      </c>
      <c r="F31" t="s">
        <v>177</v>
      </c>
      <c r="H31" s="43" cm="1">
        <f t="array" ref="H31:L31">-Historicals!H15:L15</f>
        <v>-2745.8</v>
      </c>
      <c r="I31" s="43">
        <v>-3039.6</v>
      </c>
      <c r="J31" s="43">
        <v>-3104.2</v>
      </c>
      <c r="K31" s="43">
        <v>-2993</v>
      </c>
      <c r="L31" s="43">
        <v>-3571.6</v>
      </c>
      <c r="M31" s="39">
        <f>M115</f>
        <v>-3500.6654180350611</v>
      </c>
      <c r="N31" s="39">
        <f>N115</f>
        <v>-3439.0891175975626</v>
      </c>
      <c r="O31" s="39">
        <f>O115</f>
        <v>-3377.4022913052795</v>
      </c>
      <c r="P31" s="39">
        <f>P115</f>
        <v>-3312.4174585181977</v>
      </c>
      <c r="Q31" s="39">
        <f>Q115</f>
        <v>-3241.9533925636365</v>
      </c>
      <c r="R31" s="39"/>
      <c r="S31" s="39"/>
    </row>
    <row r="32" spans="1:19" outlineLevel="1" x14ac:dyDescent="0.3">
      <c r="D32" s="41" t="s">
        <v>184</v>
      </c>
      <c r="E32" s="41"/>
      <c r="F32" s="26" t="s">
        <v>177</v>
      </c>
      <c r="G32" s="41"/>
      <c r="H32" s="42">
        <f t="shared" ref="H32:Q32" si="4">SUM(H30:H31)</f>
        <v>16678.100000000013</v>
      </c>
      <c r="I32" s="42">
        <f t="shared" si="4"/>
        <v>17489.600000000002</v>
      </c>
      <c r="J32" s="42">
        <f t="shared" si="4"/>
        <v>12990.30000000001</v>
      </c>
      <c r="K32" s="42">
        <f t="shared" si="4"/>
        <v>19461.900000000001</v>
      </c>
      <c r="L32" s="42">
        <f t="shared" si="4"/>
        <v>21549.900000000009</v>
      </c>
      <c r="M32" s="42">
        <f t="shared" si="4"/>
        <v>21557.198061996169</v>
      </c>
      <c r="N32" s="42">
        <f t="shared" si="4"/>
        <v>23848.924212156438</v>
      </c>
      <c r="O32" s="42">
        <f t="shared" si="4"/>
        <v>26072.094574298531</v>
      </c>
      <c r="P32" s="42">
        <f t="shared" si="4"/>
        <v>28213.177642670424</v>
      </c>
      <c r="Q32" s="42">
        <f t="shared" si="4"/>
        <v>30261.628194132165</v>
      </c>
      <c r="R32" s="39"/>
      <c r="S32" s="39"/>
    </row>
    <row r="33" spans="1:19" outlineLevel="1" x14ac:dyDescent="0.3">
      <c r="D33" t="s">
        <v>185</v>
      </c>
      <c r="F33" t="s">
        <v>177</v>
      </c>
      <c r="H33" s="43" cm="1">
        <f t="array" ref="H33:L33">-Historicals!H14:L14</f>
        <v>-589.20000000000005</v>
      </c>
      <c r="I33" s="43">
        <v>-523.70000000000005</v>
      </c>
      <c r="J33" s="43">
        <v>-1073.5999999999999</v>
      </c>
      <c r="K33" s="43">
        <v>-1124.0999999999999</v>
      </c>
      <c r="L33" s="43">
        <v>-1217</v>
      </c>
      <c r="M33" s="39">
        <f>M122</f>
        <v>-813.8530485648904</v>
      </c>
      <c r="N33" s="39">
        <f>N122</f>
        <v>-813.8530485648904</v>
      </c>
      <c r="O33" s="39">
        <f>O122</f>
        <v>-813.8530485648904</v>
      </c>
      <c r="P33" s="39">
        <f>P122</f>
        <v>-813.8530485648904</v>
      </c>
      <c r="Q33" s="39">
        <f>Q122</f>
        <v>-813.8530485648904</v>
      </c>
      <c r="R33" s="39"/>
      <c r="S33" s="39"/>
    </row>
    <row r="34" spans="1:19" outlineLevel="1" x14ac:dyDescent="0.3">
      <c r="D34" s="4" t="s">
        <v>165</v>
      </c>
      <c r="F34" t="s">
        <v>177</v>
      </c>
      <c r="H34" s="43">
        <f>Historicals!H7+Historicals!H19</f>
        <v>2332.1</v>
      </c>
      <c r="I34" s="43">
        <f>Historicals!I7+Historicals!I19</f>
        <v>1476.9</v>
      </c>
      <c r="J34" s="43">
        <f>Historicals!J7+Historicals!J19</f>
        <v>1131.0000000000002</v>
      </c>
      <c r="K34" s="43">
        <f>Historicals!K7+Historicals!K19</f>
        <v>1893.5</v>
      </c>
      <c r="L34" s="43">
        <f>Historicals!L7+Historicals!L19</f>
        <v>4937.3999999999996</v>
      </c>
      <c r="M34" s="39">
        <f>M13*M24</f>
        <v>2733.4857514339501</v>
      </c>
      <c r="N34" s="39">
        <f>N13*N24</f>
        <v>2976.7659833115713</v>
      </c>
      <c r="O34" s="39">
        <f>O13*O24</f>
        <v>3212.555616849681</v>
      </c>
      <c r="P34" s="39">
        <f>P13*P24</f>
        <v>3439.0308289151712</v>
      </c>
      <c r="Q34" s="39">
        <f>Q13*Q24</f>
        <v>3654.8033299893964</v>
      </c>
      <c r="R34" s="39"/>
      <c r="S34" s="39"/>
    </row>
    <row r="35" spans="1:19" outlineLevel="1" x14ac:dyDescent="0.3">
      <c r="D35" s="41" t="s">
        <v>186</v>
      </c>
      <c r="E35" s="41"/>
      <c r="F35" s="26" t="s">
        <v>177</v>
      </c>
      <c r="G35" s="41"/>
      <c r="H35" s="42">
        <f t="shared" ref="H35:Q35" si="5">SUM(H32:H34)</f>
        <v>18421.000000000011</v>
      </c>
      <c r="I35" s="42">
        <f t="shared" si="5"/>
        <v>18442.800000000003</v>
      </c>
      <c r="J35" s="42">
        <f t="shared" si="5"/>
        <v>13047.70000000001</v>
      </c>
      <c r="K35" s="42">
        <f t="shared" si="5"/>
        <v>20231.300000000003</v>
      </c>
      <c r="L35" s="42">
        <f t="shared" si="5"/>
        <v>25270.30000000001</v>
      </c>
      <c r="M35" s="42">
        <f t="shared" si="5"/>
        <v>23476.830764865226</v>
      </c>
      <c r="N35" s="42">
        <f t="shared" si="5"/>
        <v>26011.837146903119</v>
      </c>
      <c r="O35" s="42">
        <f t="shared" si="5"/>
        <v>28470.79714258332</v>
      </c>
      <c r="P35" s="42">
        <f t="shared" si="5"/>
        <v>30838.355423020705</v>
      </c>
      <c r="Q35" s="42">
        <f t="shared" si="5"/>
        <v>33102.578475556671</v>
      </c>
      <c r="R35" s="39"/>
      <c r="S35" s="39"/>
    </row>
    <row r="36" spans="1:19" outlineLevel="1" x14ac:dyDescent="0.3">
      <c r="D36" t="s">
        <v>187</v>
      </c>
      <c r="F36" t="s">
        <v>177</v>
      </c>
      <c r="H36" s="43" cm="1">
        <f t="array" ref="H36:L36">-Historicals!H24:L24</f>
        <v>-2243.3000000000002</v>
      </c>
      <c r="I36" s="43">
        <v>-1639.6</v>
      </c>
      <c r="J36" s="43">
        <v>-2979.6</v>
      </c>
      <c r="K36" s="43">
        <v>-2116.6999999999998</v>
      </c>
      <c r="L36" s="43">
        <v>-3110.3</v>
      </c>
      <c r="M36" s="39">
        <f>M14*-M35</f>
        <v>-3198.5435605630651</v>
      </c>
      <c r="N36" s="39">
        <f>N14*-N35</f>
        <v>-3543.9193236063575</v>
      </c>
      <c r="O36" s="39">
        <f>O14*-O35</f>
        <v>-3878.9343321753918</v>
      </c>
      <c r="P36" s="39">
        <f>P14*-P35</f>
        <v>-4201.4965369293614</v>
      </c>
      <c r="Q36" s="39">
        <f>Q14*-Q35</f>
        <v>-4509.9800855353287</v>
      </c>
      <c r="R36" s="39"/>
      <c r="S36" s="39"/>
    </row>
    <row r="37" spans="1:19" ht="15" outlineLevel="1" thickBot="1" x14ac:dyDescent="0.35">
      <c r="D37" s="45" t="s">
        <v>188</v>
      </c>
      <c r="E37" s="46"/>
      <c r="F37" s="46" t="s">
        <v>177</v>
      </c>
      <c r="G37" s="46"/>
      <c r="H37" s="47">
        <f t="shared" ref="H37:Q37" si="6">SUM(H35:H36)</f>
        <v>16177.700000000012</v>
      </c>
      <c r="I37" s="47">
        <f t="shared" si="6"/>
        <v>16803.200000000004</v>
      </c>
      <c r="J37" s="47">
        <f t="shared" si="6"/>
        <v>10068.100000000009</v>
      </c>
      <c r="K37" s="47">
        <f t="shared" si="6"/>
        <v>18114.600000000002</v>
      </c>
      <c r="L37" s="47">
        <f t="shared" si="6"/>
        <v>22160.000000000011</v>
      </c>
      <c r="M37" s="47">
        <f t="shared" si="6"/>
        <v>20278.28720430216</v>
      </c>
      <c r="N37" s="47">
        <f t="shared" si="6"/>
        <v>22467.917823296761</v>
      </c>
      <c r="O37" s="47">
        <f t="shared" si="6"/>
        <v>24591.862810407929</v>
      </c>
      <c r="P37" s="47">
        <f t="shared" si="6"/>
        <v>26636.858886091344</v>
      </c>
      <c r="Q37" s="47">
        <f t="shared" si="6"/>
        <v>28592.598390021343</v>
      </c>
      <c r="R37" s="39"/>
      <c r="S37" s="39"/>
    </row>
    <row r="38" spans="1:19" ht="15" thickTop="1" x14ac:dyDescent="0.3"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</row>
    <row r="39" spans="1:19" x14ac:dyDescent="0.3"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</row>
    <row r="40" spans="1:19" ht="21" x14ac:dyDescent="0.4">
      <c r="A40" s="35" t="s">
        <v>49</v>
      </c>
      <c r="B40" s="36"/>
      <c r="C40" s="36"/>
      <c r="D40" s="37"/>
      <c r="E40" s="37"/>
      <c r="F40" s="37"/>
      <c r="G40" s="37"/>
      <c r="H40" s="37"/>
      <c r="I40" s="37"/>
      <c r="J40" s="37"/>
      <c r="K40" s="37"/>
      <c r="L40" s="37"/>
      <c r="M40" s="133"/>
      <c r="N40" s="61"/>
      <c r="O40" s="61"/>
      <c r="P40" s="61"/>
      <c r="Q40" s="61"/>
    </row>
    <row r="41" spans="1:19" x14ac:dyDescent="0.3"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</row>
    <row r="42" spans="1:19" x14ac:dyDescent="0.3">
      <c r="B42" s="34" t="s">
        <v>190</v>
      </c>
      <c r="C42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</row>
    <row r="43" spans="1:19" x14ac:dyDescent="0.3">
      <c r="C43" s="4" t="s">
        <v>191</v>
      </c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</row>
    <row r="44" spans="1:19" x14ac:dyDescent="0.3">
      <c r="D44" t="s">
        <v>192</v>
      </c>
      <c r="F44" t="s">
        <v>177</v>
      </c>
      <c r="H44" s="43" cm="1">
        <f t="array" ref="H44:L44">Historicals!H66:L66</f>
        <v>1742.2</v>
      </c>
      <c r="I44" s="43">
        <v>2321.8000000000002</v>
      </c>
      <c r="J44" s="43">
        <v>2738</v>
      </c>
      <c r="K44" s="43">
        <v>4550.7</v>
      </c>
      <c r="L44" s="43">
        <v>3041.4</v>
      </c>
      <c r="M44" s="39">
        <f>M101</f>
        <v>10685.172823059447</v>
      </c>
      <c r="N44" s="39">
        <f>N101</f>
        <v>22616.138502262569</v>
      </c>
      <c r="O44" s="39">
        <f>O101</f>
        <v>36122.377797821013</v>
      </c>
      <c r="P44" s="39">
        <f>P101</f>
        <v>51197.265862459273</v>
      </c>
      <c r="Q44" s="39">
        <f>Q101</f>
        <v>67813.130219549697</v>
      </c>
      <c r="R44" s="39"/>
      <c r="S44" s="39"/>
    </row>
    <row r="45" spans="1:19" x14ac:dyDescent="0.3">
      <c r="D45" t="s">
        <v>196</v>
      </c>
      <c r="F45" t="s">
        <v>177</v>
      </c>
      <c r="H45" s="43" cm="1">
        <f t="array" ref="H45:L45">Historicals!H67:L67</f>
        <v>18162.3</v>
      </c>
      <c r="I45" s="43">
        <v>23464</v>
      </c>
      <c r="J45" s="43">
        <v>23430.9</v>
      </c>
      <c r="K45" s="43">
        <v>11242.8</v>
      </c>
      <c r="L45" s="43">
        <v>12589.4</v>
      </c>
      <c r="M45" s="39">
        <f>L45</f>
        <v>12589.4</v>
      </c>
      <c r="N45" s="39">
        <f>M45</f>
        <v>12589.4</v>
      </c>
      <c r="O45" s="39">
        <f>N45</f>
        <v>12589.4</v>
      </c>
      <c r="P45" s="39">
        <f>O45</f>
        <v>12589.4</v>
      </c>
      <c r="Q45" s="39">
        <f>P45</f>
        <v>12589.4</v>
      </c>
      <c r="R45" s="39"/>
      <c r="S45" s="39"/>
    </row>
    <row r="46" spans="1:19" x14ac:dyDescent="0.3">
      <c r="D46" t="s">
        <v>193</v>
      </c>
      <c r="F46" t="s">
        <v>177</v>
      </c>
      <c r="H46" s="43" cm="1">
        <f t="array" ref="H46:L46">Historicals!H65:L65</f>
        <v>16072.1</v>
      </c>
      <c r="I46" s="43">
        <v>18846</v>
      </c>
      <c r="J46" s="43">
        <v>21321.8</v>
      </c>
      <c r="K46" s="43">
        <v>22528.1</v>
      </c>
      <c r="L46" s="43">
        <v>24662.5</v>
      </c>
      <c r="M46" s="39">
        <f>M16*M24/365</f>
        <v>25994.632333541493</v>
      </c>
      <c r="N46" s="39">
        <f>N16*N24/365</f>
        <v>28308.154611226688</v>
      </c>
      <c r="O46" s="39">
        <f>O16*O24/365</f>
        <v>30550.443537981952</v>
      </c>
      <c r="P46" s="39">
        <f>P16*P24/365</f>
        <v>32704.155101034714</v>
      </c>
      <c r="Q46" s="39">
        <f>Q16*Q24/365</f>
        <v>34756.087082085207</v>
      </c>
      <c r="R46" s="39"/>
      <c r="S46" s="39"/>
    </row>
    <row r="47" spans="1:19" x14ac:dyDescent="0.3">
      <c r="D47" t="s">
        <v>194</v>
      </c>
      <c r="F47" t="s">
        <v>177</v>
      </c>
      <c r="H47" s="43" cm="1">
        <f t="array" ref="H47:L47">Historicals!H62:L62</f>
        <v>23124.400000000001</v>
      </c>
      <c r="I47" s="43">
        <v>30055.3</v>
      </c>
      <c r="J47" s="43">
        <v>26075.3</v>
      </c>
      <c r="K47" s="43">
        <v>26611.8</v>
      </c>
      <c r="L47" s="43">
        <v>29224.1</v>
      </c>
      <c r="M47" s="39">
        <f>-M17*M25/365</f>
        <v>33695.785291807682</v>
      </c>
      <c r="N47" s="39">
        <f>-N17*N25/365</f>
        <v>36694.710182778566</v>
      </c>
      <c r="O47" s="39">
        <f>-O17*O25/365</f>
        <v>39601.298176356453</v>
      </c>
      <c r="P47" s="39">
        <f>-P17*P25/365</f>
        <v>42393.066933765229</v>
      </c>
      <c r="Q47" s="39">
        <f>-Q17*Q25/365</f>
        <v>45052.902956052661</v>
      </c>
      <c r="R47" s="39"/>
      <c r="S47" s="39"/>
    </row>
    <row r="48" spans="1:19" x14ac:dyDescent="0.3">
      <c r="D48" t="s">
        <v>195</v>
      </c>
      <c r="F48" t="s">
        <v>177</v>
      </c>
      <c r="H48" s="43" cm="1">
        <f t="array" ref="H48:L48">Historicals!H70:L70</f>
        <v>5550.1</v>
      </c>
      <c r="I48" s="43">
        <v>6322.8</v>
      </c>
      <c r="J48" s="43">
        <v>7360.9</v>
      </c>
      <c r="K48" s="43">
        <v>8299.7999999999993</v>
      </c>
      <c r="L48" s="43">
        <v>8326.7000000000007</v>
      </c>
      <c r="M48" s="39">
        <f>L48</f>
        <v>8326.7000000000007</v>
      </c>
      <c r="N48" s="39">
        <f>M48</f>
        <v>8326.7000000000007</v>
      </c>
      <c r="O48" s="39">
        <f>N48</f>
        <v>8326.7000000000007</v>
      </c>
      <c r="P48" s="39">
        <f>O48</f>
        <v>8326.7000000000007</v>
      </c>
      <c r="Q48" s="39">
        <f>P48</f>
        <v>8326.7000000000007</v>
      </c>
      <c r="R48" s="39"/>
      <c r="S48" s="39"/>
    </row>
    <row r="49" spans="2:19" x14ac:dyDescent="0.3">
      <c r="H49" s="43"/>
      <c r="I49" s="43"/>
      <c r="J49" s="43"/>
      <c r="K49" s="43"/>
      <c r="L49" s="43"/>
      <c r="M49" s="39"/>
      <c r="N49" s="39"/>
      <c r="O49" s="39"/>
      <c r="P49" s="39"/>
      <c r="Q49" s="39"/>
      <c r="R49" s="39"/>
      <c r="S49" s="39"/>
    </row>
    <row r="50" spans="2:19" x14ac:dyDescent="0.3">
      <c r="C50" s="34" t="s">
        <v>197</v>
      </c>
      <c r="H50" s="43"/>
      <c r="I50" s="43"/>
      <c r="J50" s="43"/>
      <c r="K50" s="43"/>
      <c r="L50" s="43"/>
      <c r="M50" s="39"/>
      <c r="N50" s="39"/>
      <c r="O50" s="39"/>
      <c r="P50" s="39"/>
      <c r="Q50" s="39"/>
      <c r="R50" s="39"/>
      <c r="S50" s="39"/>
    </row>
    <row r="51" spans="2:19" x14ac:dyDescent="0.3">
      <c r="D51" t="s">
        <v>198</v>
      </c>
      <c r="F51" t="s">
        <v>177</v>
      </c>
      <c r="H51" s="43">
        <f>Historicals!H47+Historicals!H52+Historicals!H48+Historicals!H49+Historicals!H51</f>
        <v>27908.699999999997</v>
      </c>
      <c r="I51" s="43">
        <f>Historicals!I47+Historicals!I52+Historicals!I48+Historicals!I49+Historicals!I51</f>
        <v>28381.200000000001</v>
      </c>
      <c r="J51" s="43">
        <f>Historicals!J47+Historicals!J52+Historicals!J48+Historicals!J49+Historicals!J51</f>
        <v>25929.200000000001</v>
      </c>
      <c r="K51" s="43">
        <f>Historicals!K47+Historicals!K52+Historicals!K48+Historicals!K49+Historicals!K51</f>
        <v>26146.1</v>
      </c>
      <c r="L51" s="43">
        <f>Historicals!L47+Historicals!L52+Historicals!L48+Historicals!L49+Historicals!L51</f>
        <v>29772.7</v>
      </c>
      <c r="M51" s="39" cm="1">
        <f t="array" ref="M51:Q51">M116:Q116</f>
        <v>29249.001645227054</v>
      </c>
      <c r="N51" s="39">
        <v>28724.363282563096</v>
      </c>
      <c r="O51" s="39">
        <v>28171.67580744702</v>
      </c>
      <c r="P51" s="39">
        <v>27572.388173262625</v>
      </c>
      <c r="Q51" s="39">
        <v>26915.348169658708</v>
      </c>
      <c r="R51" s="39"/>
      <c r="S51" s="39"/>
    </row>
    <row r="52" spans="2:19" x14ac:dyDescent="0.3">
      <c r="D52" t="s">
        <v>199</v>
      </c>
      <c r="F52" t="s">
        <v>177</v>
      </c>
      <c r="H52" s="43" cm="1">
        <f t="array" ref="H52:L52">Historicals!H50:L50</f>
        <v>3953.9</v>
      </c>
      <c r="I52" s="43">
        <v>4030.9</v>
      </c>
      <c r="J52" s="43">
        <v>4131.7</v>
      </c>
      <c r="K52" s="43">
        <v>4167.3999999999996</v>
      </c>
      <c r="L52" s="43">
        <v>4231.1000000000004</v>
      </c>
      <c r="M52" s="39">
        <f t="shared" ref="M52:Q54" si="7">L52</f>
        <v>4231.1000000000004</v>
      </c>
      <c r="N52" s="39">
        <f t="shared" si="7"/>
        <v>4231.1000000000004</v>
      </c>
      <c r="O52" s="39">
        <f t="shared" si="7"/>
        <v>4231.1000000000004</v>
      </c>
      <c r="P52" s="39">
        <f t="shared" si="7"/>
        <v>4231.1000000000004</v>
      </c>
      <c r="Q52" s="39">
        <f t="shared" si="7"/>
        <v>4231.1000000000004</v>
      </c>
      <c r="R52" s="39"/>
      <c r="S52" s="39"/>
    </row>
    <row r="53" spans="2:19" x14ac:dyDescent="0.3">
      <c r="D53" t="s">
        <v>200</v>
      </c>
      <c r="F53" t="s">
        <v>177</v>
      </c>
      <c r="H53" s="43">
        <f>SUM(Historicals!H54:H56,Historicals!H64,Historicals!H68+Historicals!H69+Historicals!H72)</f>
        <v>6864.7</v>
      </c>
      <c r="I53" s="43">
        <f>SUM(Historicals!I54:I56,Historicals!I64,Historicals!I68+Historicals!I69+Historicals!I72)</f>
        <v>12847.999999999998</v>
      </c>
      <c r="J53" s="43">
        <f>SUM(Historicals!J54:J56,Historicals!J64,Historicals!J68+Historicals!J69+Historicals!J72)</f>
        <v>12448.7</v>
      </c>
      <c r="K53" s="43">
        <f>SUM(Historicals!K54:K56,Historicals!K68:K69,Historicals!K72,Historicals!K64)</f>
        <v>35432.800000000003</v>
      </c>
      <c r="L53" s="43">
        <f>SUM(Historicals!L54:L56,Historicals!L64,Historicals!L68+Historicals!L69+Historicals!L72)</f>
        <v>45800.1</v>
      </c>
      <c r="M53" s="39">
        <f t="shared" si="7"/>
        <v>45800.1</v>
      </c>
      <c r="N53" s="39">
        <f t="shared" si="7"/>
        <v>45800.1</v>
      </c>
      <c r="O53" s="39">
        <f t="shared" si="7"/>
        <v>45800.1</v>
      </c>
      <c r="P53" s="39">
        <f t="shared" si="7"/>
        <v>45800.1</v>
      </c>
      <c r="Q53" s="39">
        <f t="shared" si="7"/>
        <v>45800.1</v>
      </c>
      <c r="R53" s="39"/>
      <c r="S53" s="39"/>
    </row>
    <row r="54" spans="2:19" x14ac:dyDescent="0.3">
      <c r="D54" t="s">
        <v>201</v>
      </c>
      <c r="F54" t="s">
        <v>177</v>
      </c>
      <c r="H54" s="43">
        <f>SUM(Historicals!H57:H59)</f>
        <v>11814.2</v>
      </c>
      <c r="I54" s="43">
        <f>SUM(Historicals!I57:I59)</f>
        <v>14421.900000000001</v>
      </c>
      <c r="J54" s="43">
        <f>SUM(Historicals!J57:J59)</f>
        <v>14130</v>
      </c>
      <c r="K54" s="43">
        <f>SUM(Historicals!K57:K59)</f>
        <v>16769.5</v>
      </c>
      <c r="L54" s="43">
        <f>SUM(Historicals!L57:L59)</f>
        <v>19263</v>
      </c>
      <c r="M54" s="39">
        <f t="shared" si="7"/>
        <v>19263</v>
      </c>
      <c r="N54" s="39">
        <f t="shared" si="7"/>
        <v>19263</v>
      </c>
      <c r="O54" s="39">
        <f t="shared" si="7"/>
        <v>19263</v>
      </c>
      <c r="P54" s="39">
        <f t="shared" si="7"/>
        <v>19263</v>
      </c>
      <c r="Q54" s="39">
        <f t="shared" si="7"/>
        <v>19263</v>
      </c>
      <c r="R54" s="39"/>
      <c r="S54" s="39"/>
    </row>
    <row r="55" spans="2:19" ht="15" thickBot="1" x14ac:dyDescent="0.35">
      <c r="D55" s="45" t="s">
        <v>202</v>
      </c>
      <c r="E55" s="45"/>
      <c r="F55" s="46" t="s">
        <v>177</v>
      </c>
      <c r="G55" s="45"/>
      <c r="H55" s="47">
        <f t="shared" ref="H55:Q55" si="8">SUM(H44:H54)</f>
        <v>115192.59999999998</v>
      </c>
      <c r="I55" s="47">
        <f t="shared" si="8"/>
        <v>140691.9</v>
      </c>
      <c r="J55" s="47">
        <f t="shared" si="8"/>
        <v>137566.5</v>
      </c>
      <c r="K55" s="47">
        <f t="shared" si="8"/>
        <v>155749</v>
      </c>
      <c r="L55" s="47">
        <f t="shared" si="8"/>
        <v>176911</v>
      </c>
      <c r="M55" s="47">
        <f t="shared" si="8"/>
        <v>189834.89209363566</v>
      </c>
      <c r="N55" s="47">
        <f t="shared" si="8"/>
        <v>206553.66657883092</v>
      </c>
      <c r="O55" s="47">
        <f t="shared" si="8"/>
        <v>224656.09531960645</v>
      </c>
      <c r="P55" s="47">
        <f t="shared" si="8"/>
        <v>244077.17607052185</v>
      </c>
      <c r="Q55" s="47">
        <f t="shared" si="8"/>
        <v>264747.76842734625</v>
      </c>
      <c r="R55" s="39"/>
      <c r="S55" s="39"/>
    </row>
    <row r="56" spans="2:19" ht="15" thickTop="1" x14ac:dyDescent="0.3"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</row>
    <row r="57" spans="2:19" x14ac:dyDescent="0.3">
      <c r="B57" s="34" t="s">
        <v>203</v>
      </c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</row>
    <row r="58" spans="2:19" x14ac:dyDescent="0.3">
      <c r="C58" s="34" t="s">
        <v>204</v>
      </c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</row>
    <row r="59" spans="2:19" x14ac:dyDescent="0.3">
      <c r="D59" t="s">
        <v>205</v>
      </c>
      <c r="F59" t="s">
        <v>177</v>
      </c>
      <c r="H59" s="43">
        <f>SUM(Historicals!H96:H97)</f>
        <v>10694.1</v>
      </c>
      <c r="I59" s="43">
        <f>SUM(Historicals!I96:I97)</f>
        <v>11733.800000000001</v>
      </c>
      <c r="J59" s="43">
        <f>SUM(Historicals!J96:J97)</f>
        <v>11650.300000000001</v>
      </c>
      <c r="K59" s="43">
        <f>SUM(Historicals!K96:K97)</f>
        <v>17481.2</v>
      </c>
      <c r="L59" s="43">
        <f>SUM(Historicals!L96:L97)</f>
        <v>18393.5</v>
      </c>
      <c r="M59" s="39">
        <f>-M25*M18/365</f>
        <v>17645.348200053304</v>
      </c>
      <c r="N59" s="39">
        <f>-N25*N18/365</f>
        <v>19215.784189858045</v>
      </c>
      <c r="O59" s="39">
        <f>-O25*O18/365</f>
        <v>20737.8664555367</v>
      </c>
      <c r="P59" s="39">
        <f>-P25*P18/365</f>
        <v>22199.821753266024</v>
      </c>
      <c r="Q59" s="39">
        <f>-Q25*Q18/365</f>
        <v>23592.68831986648</v>
      </c>
      <c r="R59" s="39"/>
      <c r="S59" s="39"/>
    </row>
    <row r="60" spans="2:19" x14ac:dyDescent="0.3">
      <c r="D60" t="s">
        <v>206</v>
      </c>
      <c r="F60" t="s">
        <v>177</v>
      </c>
      <c r="H60" s="43">
        <f>SUM(Historicals!H98:H101)</f>
        <v>8402.9999999999982</v>
      </c>
      <c r="I60" s="43">
        <f>SUM(Historicals!I98:I101)</f>
        <v>10396.200000000001</v>
      </c>
      <c r="J60" s="43">
        <f>SUM(Historicals!J98:J101)</f>
        <v>12157.699999999999</v>
      </c>
      <c r="K60" s="43">
        <f>SUM(Historicals!K98:K101)</f>
        <v>10572.800000000001</v>
      </c>
      <c r="L60" s="43">
        <f>SUM(Historicals!L98:L101)</f>
        <v>13167.7</v>
      </c>
      <c r="M60" s="39">
        <f>L60</f>
        <v>13167.7</v>
      </c>
      <c r="N60" s="39">
        <f>M60</f>
        <v>13167.7</v>
      </c>
      <c r="O60" s="39">
        <f>N60</f>
        <v>13167.7</v>
      </c>
      <c r="P60" s="39">
        <f>O60</f>
        <v>13167.7</v>
      </c>
      <c r="Q60" s="39">
        <f>P60</f>
        <v>13167.7</v>
      </c>
      <c r="R60" s="39"/>
      <c r="S60" s="39"/>
    </row>
    <row r="61" spans="2:19" x14ac:dyDescent="0.3">
      <c r="C61" s="34" t="s">
        <v>207</v>
      </c>
      <c r="H61" s="43"/>
      <c r="I61" s="43"/>
      <c r="J61" s="43"/>
      <c r="K61" s="43"/>
      <c r="L61" s="43"/>
      <c r="M61" s="39"/>
      <c r="N61" s="39"/>
      <c r="O61" s="39"/>
      <c r="P61" s="39"/>
      <c r="Q61" s="39"/>
      <c r="R61" s="39"/>
      <c r="S61" s="39"/>
    </row>
    <row r="62" spans="2:19" x14ac:dyDescent="0.3">
      <c r="D62" t="s">
        <v>208</v>
      </c>
      <c r="F62" t="s">
        <v>177</v>
      </c>
      <c r="H62" s="43">
        <f>SUM(Historicals!H93:H94,Historicals!H85:H86)</f>
        <v>17919.8</v>
      </c>
      <c r="I62" s="43">
        <f>SUM(Historicals!I93:I94,Historicals!I85:I86)</f>
        <v>26681.9</v>
      </c>
      <c r="J62" s="43">
        <f>SUM(Historicals!J93:J94,Historicals!J85:J86)</f>
        <v>13966.8</v>
      </c>
      <c r="K62" s="43">
        <f>SUM(Historicals!K93:K94,Historicals!K85:K86)</f>
        <v>14184.1</v>
      </c>
      <c r="L62" s="43">
        <f>SUM(Historicals!L93:L94,Historicals!L85:L86)</f>
        <v>13809</v>
      </c>
      <c r="M62" s="39">
        <f>M121</f>
        <v>13809</v>
      </c>
      <c r="N62" s="39">
        <f>N121</f>
        <v>13809</v>
      </c>
      <c r="O62" s="39">
        <f>O121</f>
        <v>13809</v>
      </c>
      <c r="P62" s="39">
        <f>P121</f>
        <v>13809</v>
      </c>
      <c r="Q62" s="39">
        <f>Q121</f>
        <v>13809</v>
      </c>
      <c r="R62" s="39"/>
      <c r="S62" s="39"/>
    </row>
    <row r="63" spans="2:19" x14ac:dyDescent="0.3">
      <c r="D63" t="s">
        <v>209</v>
      </c>
      <c r="F63" t="s">
        <v>177</v>
      </c>
      <c r="H63" s="43">
        <f>SUM(Historicals!H87:H89,Historicals!H103)</f>
        <v>2595.6000000000004</v>
      </c>
      <c r="I63" s="43">
        <f>SUM(Historicals!I87:I89,Historicals!I103)</f>
        <v>3406.7</v>
      </c>
      <c r="J63" s="43">
        <f>SUM(Historicals!J87:J89,Historicals!J103)</f>
        <v>5441.7</v>
      </c>
      <c r="K63" s="43">
        <f>SUM(Historicals!K87:K89,Historicals!K103)</f>
        <v>6366.9</v>
      </c>
      <c r="L63" s="43">
        <f>SUM(Historicals!L87:L89,Historicals!L103)</f>
        <v>7204.5</v>
      </c>
      <c r="M63" s="39">
        <f>L63</f>
        <v>7204.5</v>
      </c>
      <c r="N63" s="39">
        <f>M63</f>
        <v>7204.5</v>
      </c>
      <c r="O63" s="39">
        <f>N63</f>
        <v>7204.5</v>
      </c>
      <c r="P63" s="39">
        <f>O63</f>
        <v>7204.5</v>
      </c>
      <c r="Q63" s="39">
        <f>P63</f>
        <v>7204.5</v>
      </c>
      <c r="R63" s="39"/>
      <c r="S63" s="39"/>
    </row>
    <row r="64" spans="2:19" x14ac:dyDescent="0.3">
      <c r="D64" s="41" t="s">
        <v>210</v>
      </c>
      <c r="E64" s="41"/>
      <c r="F64" s="26" t="s">
        <v>177</v>
      </c>
      <c r="G64" s="41"/>
      <c r="H64" s="42">
        <f t="shared" ref="H64:Q64" si="9">+SUM(H59:H63)</f>
        <v>39612.499999999993</v>
      </c>
      <c r="I64" s="42">
        <f t="shared" si="9"/>
        <v>52218.6</v>
      </c>
      <c r="J64" s="42">
        <f t="shared" si="9"/>
        <v>43216.5</v>
      </c>
      <c r="K64" s="42">
        <f t="shared" si="9"/>
        <v>48605</v>
      </c>
      <c r="L64" s="42">
        <f t="shared" si="9"/>
        <v>52574.7</v>
      </c>
      <c r="M64" s="42">
        <f t="shared" si="9"/>
        <v>51826.548200053308</v>
      </c>
      <c r="N64" s="42">
        <f t="shared" si="9"/>
        <v>53396.984189858049</v>
      </c>
      <c r="O64" s="42">
        <f t="shared" si="9"/>
        <v>54919.066455536697</v>
      </c>
      <c r="P64" s="42">
        <f t="shared" si="9"/>
        <v>56381.021753266024</v>
      </c>
      <c r="Q64" s="42">
        <f t="shared" si="9"/>
        <v>57773.888319866484</v>
      </c>
      <c r="R64" s="39"/>
      <c r="S64" s="39"/>
    </row>
    <row r="65" spans="1:19" x14ac:dyDescent="0.3">
      <c r="C65" s="34" t="s">
        <v>214</v>
      </c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</row>
    <row r="66" spans="1:19" x14ac:dyDescent="0.3">
      <c r="D66" t="s">
        <v>212</v>
      </c>
      <c r="F66" t="s">
        <v>177</v>
      </c>
      <c r="H66" s="43" cm="1">
        <f t="array" ref="H66:L66">Historicals!H77:L77</f>
        <v>239.1</v>
      </c>
      <c r="I66" s="43">
        <v>239.1</v>
      </c>
      <c r="J66" s="43">
        <v>239.1</v>
      </c>
      <c r="K66" s="43">
        <v>239.1</v>
      </c>
      <c r="L66" s="43">
        <v>239.1</v>
      </c>
      <c r="M66" s="39">
        <f>L66</f>
        <v>239.1</v>
      </c>
      <c r="N66" s="39">
        <f>M66</f>
        <v>239.1</v>
      </c>
      <c r="O66" s="39">
        <f>N66</f>
        <v>239.1</v>
      </c>
      <c r="P66" s="39">
        <f>O66</f>
        <v>239.1</v>
      </c>
      <c r="Q66" s="39">
        <f>P66</f>
        <v>239.1</v>
      </c>
      <c r="R66" s="39"/>
      <c r="S66" s="39"/>
    </row>
    <row r="67" spans="1:19" x14ac:dyDescent="0.3">
      <c r="D67" t="s">
        <v>213</v>
      </c>
      <c r="F67" t="s">
        <v>177</v>
      </c>
      <c r="H67" s="43" cm="1">
        <f t="array" ref="H67:L67">Historicals!H78:L78</f>
        <v>73528.2</v>
      </c>
      <c r="I67" s="43">
        <v>86139.9</v>
      </c>
      <c r="J67" s="43">
        <v>90213.8</v>
      </c>
      <c r="K67" s="43">
        <v>102881.5</v>
      </c>
      <c r="L67" s="43">
        <v>119609.60000000001</v>
      </c>
      <c r="M67" s="39">
        <f>L67+M37+M96</f>
        <v>133281.64389358237</v>
      </c>
      <c r="N67" s="39">
        <f>M67+N37+N96</f>
        <v>148429.98238897289</v>
      </c>
      <c r="O67" s="39">
        <f>N67+O37+O96</f>
        <v>165010.32886406977</v>
      </c>
      <c r="P67" s="39">
        <f>O67+P37+P96</f>
        <v>182969.45431725585</v>
      </c>
      <c r="Q67" s="39">
        <f>P67+Q37+Q96</f>
        <v>202247.1801074798</v>
      </c>
      <c r="R67" s="39"/>
      <c r="S67" s="39"/>
    </row>
    <row r="68" spans="1:19" x14ac:dyDescent="0.3">
      <c r="D68" s="48" t="s">
        <v>215</v>
      </c>
      <c r="E68" s="26"/>
      <c r="F68" s="26" t="s">
        <v>177</v>
      </c>
      <c r="G68" s="26"/>
      <c r="H68" s="42">
        <f t="shared" ref="H68:Q68" si="10">SUM(H66:H67)</f>
        <v>73767.3</v>
      </c>
      <c r="I68" s="42">
        <f t="shared" si="10"/>
        <v>86379</v>
      </c>
      <c r="J68" s="42">
        <f t="shared" si="10"/>
        <v>90452.900000000009</v>
      </c>
      <c r="K68" s="42">
        <f t="shared" si="10"/>
        <v>103120.6</v>
      </c>
      <c r="L68" s="42">
        <f t="shared" si="10"/>
        <v>119848.70000000001</v>
      </c>
      <c r="M68" s="42">
        <f t="shared" si="10"/>
        <v>133520.74389358237</v>
      </c>
      <c r="N68" s="42">
        <f t="shared" si="10"/>
        <v>148669.08238897289</v>
      </c>
      <c r="O68" s="42">
        <f t="shared" si="10"/>
        <v>165249.42886406978</v>
      </c>
      <c r="P68" s="42">
        <f t="shared" si="10"/>
        <v>183208.55431725585</v>
      </c>
      <c r="Q68" s="42">
        <f t="shared" si="10"/>
        <v>202486.2801074798</v>
      </c>
      <c r="R68" s="39"/>
      <c r="S68" s="39"/>
    </row>
    <row r="69" spans="1:19" x14ac:dyDescent="0.3">
      <c r="D69" t="s">
        <v>216</v>
      </c>
      <c r="F69" t="s">
        <v>177</v>
      </c>
      <c r="H69" s="43" cm="1">
        <f t="array" ref="H69:L69">Historicals!H80:L80</f>
        <v>1812.8</v>
      </c>
      <c r="I69" s="43">
        <v>2094.3000000000002</v>
      </c>
      <c r="J69" s="43">
        <v>3897.1</v>
      </c>
      <c r="K69" s="43">
        <v>4023.4</v>
      </c>
      <c r="L69" s="43">
        <v>4487.6000000000004</v>
      </c>
      <c r="M69" s="39">
        <f>L69</f>
        <v>4487.6000000000004</v>
      </c>
      <c r="N69" s="39">
        <f>M69</f>
        <v>4487.6000000000004</v>
      </c>
      <c r="O69" s="39">
        <f>N69</f>
        <v>4487.6000000000004</v>
      </c>
      <c r="P69" s="39">
        <f>O69</f>
        <v>4487.6000000000004</v>
      </c>
      <c r="Q69" s="39">
        <f>P69</f>
        <v>4487.6000000000004</v>
      </c>
      <c r="R69" s="39"/>
      <c r="S69" s="39"/>
    </row>
    <row r="70" spans="1:19" ht="15" thickBot="1" x14ac:dyDescent="0.35">
      <c r="D70" s="45" t="s">
        <v>217</v>
      </c>
      <c r="E70" s="46"/>
      <c r="F70" s="46" t="s">
        <v>177</v>
      </c>
      <c r="G70" s="46"/>
      <c r="H70" s="47">
        <f t="shared" ref="H70:Q70" si="11">H69+H68+H64</f>
        <v>115192.6</v>
      </c>
      <c r="I70" s="47">
        <f t="shared" si="11"/>
        <v>140691.9</v>
      </c>
      <c r="J70" s="47">
        <f t="shared" si="11"/>
        <v>137566.5</v>
      </c>
      <c r="K70" s="47">
        <f t="shared" si="11"/>
        <v>155749</v>
      </c>
      <c r="L70" s="47">
        <f t="shared" si="11"/>
        <v>176911</v>
      </c>
      <c r="M70" s="47">
        <f t="shared" si="11"/>
        <v>189834.89209363569</v>
      </c>
      <c r="N70" s="47">
        <f t="shared" si="11"/>
        <v>206553.66657883095</v>
      </c>
      <c r="O70" s="47">
        <f t="shared" si="11"/>
        <v>224656.09531960648</v>
      </c>
      <c r="P70" s="47">
        <f t="shared" si="11"/>
        <v>244077.17607052188</v>
      </c>
      <c r="Q70" s="47">
        <f t="shared" si="11"/>
        <v>264747.76842734631</v>
      </c>
      <c r="R70" s="39"/>
      <c r="S70" s="39"/>
    </row>
    <row r="71" spans="1:19" ht="15" thickTop="1" x14ac:dyDescent="0.3"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</row>
    <row r="72" spans="1:19" x14ac:dyDescent="0.3">
      <c r="D72" t="s">
        <v>218</v>
      </c>
      <c r="H72" s="39">
        <f>H70-H55</f>
        <v>0</v>
      </c>
      <c r="I72" s="39">
        <f t="shared" ref="I72:Q72" si="12">I70-I55</f>
        <v>0</v>
      </c>
      <c r="J72" s="39">
        <f t="shared" si="12"/>
        <v>0</v>
      </c>
      <c r="K72" s="39">
        <f t="shared" si="12"/>
        <v>0</v>
      </c>
      <c r="L72" s="39">
        <f t="shared" si="12"/>
        <v>0</v>
      </c>
      <c r="M72" s="39">
        <f t="shared" si="12"/>
        <v>0</v>
      </c>
      <c r="N72" s="39">
        <f t="shared" si="12"/>
        <v>0</v>
      </c>
      <c r="O72" s="39">
        <f t="shared" si="12"/>
        <v>0</v>
      </c>
      <c r="P72" s="39">
        <f t="shared" si="12"/>
        <v>0</v>
      </c>
      <c r="Q72" s="39">
        <f t="shared" si="12"/>
        <v>0</v>
      </c>
      <c r="R72" s="39"/>
      <c r="S72" s="39"/>
    </row>
    <row r="73" spans="1:19" ht="21" x14ac:dyDescent="0.4">
      <c r="A73" s="35" t="s">
        <v>108</v>
      </c>
      <c r="B73" s="36"/>
      <c r="C73" s="36"/>
      <c r="D73" s="37"/>
      <c r="E73" s="37"/>
      <c r="F73" s="37"/>
      <c r="G73" s="37"/>
      <c r="H73" s="37"/>
      <c r="I73" s="37"/>
      <c r="J73" s="37"/>
      <c r="K73" s="37"/>
      <c r="L73" s="37"/>
      <c r="M73" s="133"/>
      <c r="N73" s="61"/>
      <c r="O73" s="61"/>
      <c r="P73" s="61"/>
      <c r="Q73" s="61"/>
    </row>
    <row r="74" spans="1:19" x14ac:dyDescent="0.3"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</row>
    <row r="75" spans="1:19" x14ac:dyDescent="0.3">
      <c r="B75" s="34" t="s">
        <v>219</v>
      </c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</row>
    <row r="76" spans="1:19" x14ac:dyDescent="0.3">
      <c r="D76" t="s">
        <v>220</v>
      </c>
      <c r="F76" t="s">
        <v>177</v>
      </c>
      <c r="H76" s="43">
        <f>H35</f>
        <v>18421.000000000011</v>
      </c>
      <c r="I76" s="43">
        <f>I35</f>
        <v>18442.800000000003</v>
      </c>
      <c r="J76" s="43">
        <f>J35</f>
        <v>13047.70000000001</v>
      </c>
      <c r="K76" s="43">
        <f>K35</f>
        <v>20231.300000000003</v>
      </c>
      <c r="L76" s="43">
        <f>L35</f>
        <v>25270.30000000001</v>
      </c>
      <c r="M76" s="39" cm="1">
        <f t="array" ref="M76:Q76">M35:Q35</f>
        <v>23476.830764865226</v>
      </c>
      <c r="N76" s="39">
        <v>26011.837146903119</v>
      </c>
      <c r="O76" s="39">
        <v>28470.79714258332</v>
      </c>
      <c r="P76" s="39">
        <v>30838.355423020705</v>
      </c>
      <c r="Q76" s="39">
        <v>33102.578475556671</v>
      </c>
      <c r="R76" s="39"/>
      <c r="S76" s="39"/>
    </row>
    <row r="77" spans="1:19" x14ac:dyDescent="0.3">
      <c r="D77" t="s">
        <v>223</v>
      </c>
      <c r="F77" t="s">
        <v>177</v>
      </c>
      <c r="H77" s="43" cm="1">
        <f t="array" ref="H77:L77">Historicals!H112:L112</f>
        <v>2745.8</v>
      </c>
      <c r="I77" s="43">
        <v>3039.6</v>
      </c>
      <c r="J77" s="43">
        <v>3104.2</v>
      </c>
      <c r="K77" s="43">
        <v>2993</v>
      </c>
      <c r="L77" s="43">
        <v>3571.6</v>
      </c>
      <c r="M77" s="39">
        <f>-M115</f>
        <v>3500.6654180350611</v>
      </c>
      <c r="N77" s="39">
        <f>-N115</f>
        <v>3439.0891175975626</v>
      </c>
      <c r="O77" s="39">
        <f>-O115</f>
        <v>3377.4022913052795</v>
      </c>
      <c r="P77" s="39">
        <f>-P115</f>
        <v>3312.4174585181977</v>
      </c>
      <c r="Q77" s="39">
        <f>-Q115</f>
        <v>3241.9533925636365</v>
      </c>
      <c r="R77" s="39"/>
      <c r="S77" s="39"/>
    </row>
    <row r="78" spans="1:19" x14ac:dyDescent="0.3">
      <c r="D78" t="s">
        <v>224</v>
      </c>
      <c r="F78" t="s">
        <v>177</v>
      </c>
      <c r="H78" s="43">
        <f>SUM(Historicals!H117:H126)</f>
        <v>-692.9</v>
      </c>
      <c r="I78" s="43">
        <f>SUM(Historicals!I117:I126)</f>
        <v>-843</v>
      </c>
      <c r="J78" s="43">
        <f>SUM(Historicals!J117:J126)</f>
        <v>341.79999999999978</v>
      </c>
      <c r="K78" s="43">
        <f>SUM(Historicals!K117:K126)</f>
        <v>982.40000000000009</v>
      </c>
      <c r="L78" s="43">
        <f>SUM(Historicals!L117:L126)</f>
        <v>-1803.6</v>
      </c>
      <c r="M78" s="39">
        <f t="shared" ref="M78:Q79" si="13">-M33</f>
        <v>813.8530485648904</v>
      </c>
      <c r="N78" s="39">
        <f t="shared" si="13"/>
        <v>813.8530485648904</v>
      </c>
      <c r="O78" s="39">
        <f t="shared" si="13"/>
        <v>813.8530485648904</v>
      </c>
      <c r="P78" s="39">
        <f t="shared" si="13"/>
        <v>813.8530485648904</v>
      </c>
      <c r="Q78" s="39">
        <f t="shared" si="13"/>
        <v>813.8530485648904</v>
      </c>
      <c r="R78" s="39"/>
      <c r="S78" s="39"/>
    </row>
    <row r="79" spans="1:19" x14ac:dyDescent="0.3">
      <c r="D79" t="s">
        <v>225</v>
      </c>
      <c r="F79" t="s">
        <v>177</v>
      </c>
      <c r="H79" s="43">
        <f>SUM(Historicals!H113:H116)</f>
        <v>-406.5</v>
      </c>
      <c r="I79" s="43">
        <f>SUM(Historicals!I113:I116)</f>
        <v>-110.59999999999998</v>
      </c>
      <c r="J79" s="43">
        <f>SUM(Historicals!J113:J116)</f>
        <v>-202.50000000000003</v>
      </c>
      <c r="K79" s="43">
        <f>SUM(Historicals!K113:K116)</f>
        <v>-139.70000000000002</v>
      </c>
      <c r="L79" s="43">
        <f>SUM(Historicals!L113:L116)</f>
        <v>-730</v>
      </c>
      <c r="M79" s="39">
        <f t="shared" si="13"/>
        <v>-2733.4857514339501</v>
      </c>
      <c r="N79" s="39">
        <f t="shared" si="13"/>
        <v>-2976.7659833115713</v>
      </c>
      <c r="O79" s="39">
        <f t="shared" si="13"/>
        <v>-3212.555616849681</v>
      </c>
      <c r="P79" s="39">
        <f t="shared" si="13"/>
        <v>-3439.0308289151712</v>
      </c>
      <c r="Q79" s="39">
        <f t="shared" si="13"/>
        <v>-3654.8033299893964</v>
      </c>
      <c r="R79" s="39"/>
      <c r="S79" s="39"/>
    </row>
    <row r="80" spans="1:19" x14ac:dyDescent="0.3">
      <c r="D80" t="s">
        <v>222</v>
      </c>
      <c r="F80" t="s">
        <v>177</v>
      </c>
      <c r="H80" s="43" cm="1">
        <f t="array" ref="H80:L80">Historicals!H135:L135</f>
        <v>-3411.6</v>
      </c>
      <c r="I80" s="43">
        <v>-5449.6</v>
      </c>
      <c r="J80" s="43">
        <v>3267.7</v>
      </c>
      <c r="K80" s="43">
        <v>-516.9</v>
      </c>
      <c r="L80" s="43">
        <v>-2139.6999999999998</v>
      </c>
      <c r="M80" s="39" cm="1">
        <f t="array" ref="M80:Q80">M110:Q110</f>
        <v>-6551.9694252958725</v>
      </c>
      <c r="N80" s="39">
        <v>-3742.0111788513386</v>
      </c>
      <c r="O80" s="39">
        <v>-3626.7946546544954</v>
      </c>
      <c r="P80" s="39">
        <v>-3483.525022732214</v>
      </c>
      <c r="Q80" s="39">
        <v>-3318.9014367374693</v>
      </c>
      <c r="R80" s="39"/>
      <c r="S80" s="39"/>
    </row>
    <row r="81" spans="2:19" x14ac:dyDescent="0.3">
      <c r="C81" s="48" t="s">
        <v>221</v>
      </c>
      <c r="D81" s="41"/>
      <c r="E81" s="26"/>
      <c r="F81" s="26" t="s">
        <v>177</v>
      </c>
      <c r="G81" s="26"/>
      <c r="H81" s="42">
        <f t="shared" ref="H81:Q81" si="14">SUM(H76:H80)</f>
        <v>16655.80000000001</v>
      </c>
      <c r="I81" s="42">
        <f t="shared" si="14"/>
        <v>15079.200000000003</v>
      </c>
      <c r="J81" s="42">
        <f t="shared" si="14"/>
        <v>19558.900000000009</v>
      </c>
      <c r="K81" s="42">
        <f t="shared" si="14"/>
        <v>23550.100000000002</v>
      </c>
      <c r="L81" s="42">
        <f t="shared" si="14"/>
        <v>24168.600000000009</v>
      </c>
      <c r="M81" s="42">
        <f t="shared" si="14"/>
        <v>18505.894054735356</v>
      </c>
      <c r="N81" s="42">
        <f t="shared" si="14"/>
        <v>23546.002150902663</v>
      </c>
      <c r="O81" s="42">
        <f t="shared" si="14"/>
        <v>25822.702210949315</v>
      </c>
      <c r="P81" s="42">
        <f t="shared" si="14"/>
        <v>28042.070078456407</v>
      </c>
      <c r="Q81" s="42">
        <f t="shared" si="14"/>
        <v>30184.680149958331</v>
      </c>
      <c r="R81" s="39"/>
      <c r="S81" s="39"/>
    </row>
    <row r="82" spans="2:19" x14ac:dyDescent="0.3">
      <c r="D82" t="s">
        <v>226</v>
      </c>
      <c r="F82" t="s">
        <v>177</v>
      </c>
      <c r="H82" s="43">
        <f>Historicals!H137</f>
        <v>-4006.8</v>
      </c>
      <c r="I82" s="43">
        <f>Historicals!I137</f>
        <v>-3969</v>
      </c>
      <c r="J82" s="43">
        <f>Historicals!J137</f>
        <v>-2733.9</v>
      </c>
      <c r="K82" s="43">
        <f>Historicals!K137</f>
        <v>-4069.4</v>
      </c>
      <c r="L82" s="43">
        <f>Historicals!L137</f>
        <v>-5040.2</v>
      </c>
      <c r="M82" s="39" cm="1">
        <f t="array" ref="M82:Q82">M36:Q36</f>
        <v>-3198.5435605630651</v>
      </c>
      <c r="N82" s="39">
        <v>-3543.9193236063575</v>
      </c>
      <c r="O82" s="39">
        <v>-3878.9343321753918</v>
      </c>
      <c r="P82" s="39">
        <v>-4201.4965369293614</v>
      </c>
      <c r="Q82" s="39">
        <v>-4509.9800855353287</v>
      </c>
      <c r="R82" s="39"/>
      <c r="S82" s="39"/>
    </row>
    <row r="83" spans="2:19" x14ac:dyDescent="0.3">
      <c r="B83" s="34"/>
      <c r="C83" s="48" t="s">
        <v>227</v>
      </c>
      <c r="D83" s="26"/>
      <c r="E83" s="26"/>
      <c r="F83" s="26" t="s">
        <v>177</v>
      </c>
      <c r="G83" s="26"/>
      <c r="H83" s="42">
        <f t="shared" ref="H83:Q83" si="15">SUM(H81:H82)</f>
        <v>12649.000000000011</v>
      </c>
      <c r="I83" s="42">
        <f t="shared" si="15"/>
        <v>11110.200000000003</v>
      </c>
      <c r="J83" s="42">
        <f t="shared" si="15"/>
        <v>16825.000000000007</v>
      </c>
      <c r="K83" s="42">
        <f t="shared" si="15"/>
        <v>19480.7</v>
      </c>
      <c r="L83" s="42">
        <f t="shared" si="15"/>
        <v>19128.400000000009</v>
      </c>
      <c r="M83" s="42">
        <f t="shared" si="15"/>
        <v>15307.350494172291</v>
      </c>
      <c r="N83" s="42">
        <f t="shared" si="15"/>
        <v>20002.082827296304</v>
      </c>
      <c r="O83" s="42">
        <f t="shared" si="15"/>
        <v>21943.767878773924</v>
      </c>
      <c r="P83" s="42">
        <f t="shared" si="15"/>
        <v>23840.573541527046</v>
      </c>
      <c r="Q83" s="42">
        <f t="shared" si="15"/>
        <v>25674.700064423003</v>
      </c>
      <c r="R83" s="39"/>
      <c r="S83" s="39"/>
    </row>
    <row r="84" spans="2:19" x14ac:dyDescent="0.3"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</row>
    <row r="85" spans="2:19" x14ac:dyDescent="0.3">
      <c r="C85" s="34" t="s">
        <v>228</v>
      </c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</row>
    <row r="86" spans="2:19" x14ac:dyDescent="0.3">
      <c r="D86" t="s">
        <v>229</v>
      </c>
      <c r="F86" t="s">
        <v>177</v>
      </c>
      <c r="H86" s="43">
        <f>Historicals!H140</f>
        <v>-1949.1</v>
      </c>
      <c r="I86" s="43">
        <f>Historicals!I140</f>
        <v>-3388.8</v>
      </c>
      <c r="J86" s="43">
        <f>Historicals!J140</f>
        <v>-2329.1</v>
      </c>
      <c r="K86" s="43">
        <f>Historicals!K140</f>
        <v>-2592.9</v>
      </c>
      <c r="L86" s="43">
        <f>Historicals!L140</f>
        <v>-6756.2</v>
      </c>
      <c r="M86" s="39" cm="1">
        <f t="array" ref="M86:Q86">-M114:Q114</f>
        <v>-2976.9670632621142</v>
      </c>
      <c r="N86" s="39">
        <v>-2914.4507549336049</v>
      </c>
      <c r="O86" s="39">
        <v>-2824.7148161892028</v>
      </c>
      <c r="P86" s="39">
        <v>-2713.1298243338006</v>
      </c>
      <c r="Q86" s="39">
        <v>-2584.9133889597183</v>
      </c>
      <c r="R86" s="39"/>
    </row>
    <row r="87" spans="2:19" x14ac:dyDescent="0.3">
      <c r="D87" t="s">
        <v>230</v>
      </c>
      <c r="F87" t="s">
        <v>177</v>
      </c>
      <c r="H87" s="43">
        <f>Historicals!H141</f>
        <v>104.6</v>
      </c>
      <c r="I87" s="43">
        <f>Historicals!I141</f>
        <v>109</v>
      </c>
      <c r="J87" s="43">
        <f>Historicals!J141</f>
        <v>32</v>
      </c>
      <c r="K87" s="43">
        <f>Historicals!K141</f>
        <v>724.8</v>
      </c>
      <c r="L87" s="43">
        <f>Historicals!L141</f>
        <v>408.4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/>
    </row>
    <row r="88" spans="2:19" x14ac:dyDescent="0.3">
      <c r="D88" t="s">
        <v>231</v>
      </c>
      <c r="F88" t="s">
        <v>177</v>
      </c>
      <c r="H88" s="43">
        <f>SUM(Historicals!H142,Historicals!H145)</f>
        <v>-8937.9</v>
      </c>
      <c r="I88" s="43">
        <f>SUM(Historicals!I142,Historicals!I145)</f>
        <v>-11641.8</v>
      </c>
      <c r="J88" s="43">
        <f>SUM(Historicals!J142,Historicals!J145)</f>
        <v>0</v>
      </c>
      <c r="K88" s="43">
        <f>SUM(Historicals!K142,Historicals!K145)</f>
        <v>-34119.700000000004</v>
      </c>
      <c r="L88" s="43">
        <f>SUM(Historicals!L142,Historicals!L145)</f>
        <v>-30942</v>
      </c>
      <c r="M88" s="39">
        <f>L53-M53</f>
        <v>0</v>
      </c>
      <c r="N88" s="39">
        <f>M53-N53</f>
        <v>0</v>
      </c>
      <c r="O88" s="39">
        <f>N53-O53</f>
        <v>0</v>
      </c>
      <c r="P88" s="39">
        <f>O53-P53</f>
        <v>0</v>
      </c>
      <c r="Q88" s="39">
        <f>P53-Q53</f>
        <v>0</v>
      </c>
      <c r="R88" s="39"/>
    </row>
    <row r="89" spans="2:19" x14ac:dyDescent="0.3">
      <c r="D89" t="s">
        <v>232</v>
      </c>
      <c r="F89" t="s">
        <v>177</v>
      </c>
      <c r="H89" s="43">
        <f>Historicals!H143+Historicals!H144</f>
        <v>2.6999999999999886</v>
      </c>
      <c r="I89" s="43">
        <f>Historicals!I143+Historicals!I144</f>
        <v>-409.3</v>
      </c>
      <c r="J89" s="43">
        <f>Historicals!J143+Historicals!J144</f>
        <v>-2175.3000000000002</v>
      </c>
      <c r="K89" s="43">
        <f>Historicals!K143+Historicals!K144</f>
        <v>23508.1</v>
      </c>
      <c r="L89" s="43">
        <f>Historicals!L143+Historicals!L144</f>
        <v>21153.399999999998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/>
    </row>
    <row r="90" spans="2:19" x14ac:dyDescent="0.3">
      <c r="D90" t="s">
        <v>233</v>
      </c>
      <c r="F90" t="s">
        <v>177</v>
      </c>
      <c r="H90" s="43">
        <f>SUM(Historicals!H146:H148)</f>
        <v>794.30000000000007</v>
      </c>
      <c r="I90" s="43">
        <f>SUM(Historicals!I146:I148)</f>
        <v>979.6</v>
      </c>
      <c r="J90" s="43">
        <f>SUM(Historicals!J146:J148)</f>
        <v>5600.7999999999993</v>
      </c>
      <c r="K90" s="43">
        <f>SUM(Historicals!K146:K148)</f>
        <v>2394.7000000000003</v>
      </c>
      <c r="L90" s="43">
        <f>SUM(Historicals!L146:L148)</f>
        <v>3148.7999999999997</v>
      </c>
      <c r="M90" s="39" cm="1">
        <f t="array" ref="M90:Q90">M34:Q34</f>
        <v>2733.4857514339501</v>
      </c>
      <c r="N90" s="39">
        <v>2976.7659833115713</v>
      </c>
      <c r="O90" s="39">
        <v>3212.555616849681</v>
      </c>
      <c r="P90" s="39">
        <v>3439.0308289151712</v>
      </c>
      <c r="Q90" s="39">
        <v>3654.8033299893964</v>
      </c>
      <c r="R90" s="39"/>
    </row>
    <row r="91" spans="2:19" x14ac:dyDescent="0.3">
      <c r="D91" s="41" t="s">
        <v>234</v>
      </c>
      <c r="E91" s="26"/>
      <c r="F91" s="26" t="s">
        <v>177</v>
      </c>
      <c r="G91" s="26"/>
      <c r="H91" s="42">
        <f t="shared" ref="H91:Q91" si="16">SUM(H86:H90)</f>
        <v>-9985.4</v>
      </c>
      <c r="I91" s="42">
        <f t="shared" si="16"/>
        <v>-14351.299999999997</v>
      </c>
      <c r="J91" s="42">
        <f t="shared" si="16"/>
        <v>1128.3999999999996</v>
      </c>
      <c r="K91" s="42">
        <f t="shared" si="16"/>
        <v>-10085.000000000004</v>
      </c>
      <c r="L91" s="42">
        <f t="shared" si="16"/>
        <v>-12987.600000000006</v>
      </c>
      <c r="M91" s="42">
        <f t="shared" si="16"/>
        <v>-243.48131182816405</v>
      </c>
      <c r="N91" s="42">
        <f t="shared" si="16"/>
        <v>62.315228377966378</v>
      </c>
      <c r="O91" s="42">
        <f t="shared" si="16"/>
        <v>387.84080066047818</v>
      </c>
      <c r="P91" s="42">
        <f t="shared" si="16"/>
        <v>725.90100458137067</v>
      </c>
      <c r="Q91" s="42">
        <f t="shared" si="16"/>
        <v>1069.8899410296781</v>
      </c>
      <c r="R91" s="39"/>
    </row>
    <row r="92" spans="2:19" x14ac:dyDescent="0.3"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</row>
    <row r="93" spans="2:19" x14ac:dyDescent="0.3">
      <c r="C93" s="34" t="s">
        <v>235</v>
      </c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</row>
    <row r="94" spans="2:19" x14ac:dyDescent="0.3">
      <c r="D94" t="s">
        <v>236</v>
      </c>
      <c r="F94" t="s">
        <v>177</v>
      </c>
      <c r="H94" s="43">
        <f>SUM(Historicals!H151:H152,Historicals!H155)</f>
        <v>1166.5000000000002</v>
      </c>
      <c r="I94" s="43">
        <f>SUM(Historicals!I151:I152,Historicals!I155)</f>
        <v>8416.1</v>
      </c>
      <c r="J94" s="43">
        <f>SUM(Historicals!J151:J152,Historicals!J155)</f>
        <v>-13023.199999999999</v>
      </c>
      <c r="K94" s="43">
        <f>SUM(Historicals!K151:K152,Historicals!K155)</f>
        <v>-5132.0999999999995</v>
      </c>
      <c r="L94" s="43">
        <f>SUM(Historicals!L151:L152,Historicals!L155)</f>
        <v>-2257.6000000000004</v>
      </c>
      <c r="M94" s="39" cm="1">
        <f t="array" ref="M94:Q94">M120:Q120</f>
        <v>0</v>
      </c>
      <c r="N94" s="39">
        <v>0</v>
      </c>
      <c r="O94" s="39">
        <v>0</v>
      </c>
      <c r="P94" s="39">
        <v>0</v>
      </c>
      <c r="Q94" s="39">
        <v>0</v>
      </c>
      <c r="R94" s="39"/>
    </row>
    <row r="95" spans="2:19" x14ac:dyDescent="0.3">
      <c r="D95" t="s">
        <v>237</v>
      </c>
      <c r="F95" t="s">
        <v>177</v>
      </c>
      <c r="H95" s="43">
        <f>Historicals!H153</f>
        <v>0</v>
      </c>
      <c r="I95" s="43">
        <f>Historicals!I153</f>
        <v>0</v>
      </c>
      <c r="J95" s="43">
        <f>Historicals!J153</f>
        <v>1614.8</v>
      </c>
      <c r="K95" s="43">
        <f>Historicals!K153</f>
        <v>0</v>
      </c>
      <c r="L95" s="43">
        <f>Historicals!L153</f>
        <v>0</v>
      </c>
      <c r="M95" s="43">
        <f>Historicals!M153</f>
        <v>0</v>
      </c>
      <c r="N95" s="43">
        <f>Historicals!N153</f>
        <v>0</v>
      </c>
      <c r="O95" s="43">
        <f>Historicals!O153</f>
        <v>0</v>
      </c>
      <c r="P95" s="43">
        <f>Historicals!P153</f>
        <v>0</v>
      </c>
      <c r="Q95" s="43">
        <f>Historicals!Q153</f>
        <v>0</v>
      </c>
      <c r="R95" s="39"/>
    </row>
    <row r="96" spans="2:19" x14ac:dyDescent="0.3">
      <c r="D96" t="s">
        <v>238</v>
      </c>
      <c r="F96" t="s">
        <v>177</v>
      </c>
      <c r="H96" s="43">
        <f>Historicals!H154</f>
        <v>-3347.8</v>
      </c>
      <c r="I96" s="43">
        <f>Historicals!I154</f>
        <v>-4219.1000000000004</v>
      </c>
      <c r="J96" s="43">
        <f>Historicals!J154</f>
        <v>-5295.2</v>
      </c>
      <c r="K96" s="43">
        <f>Historicals!K154</f>
        <v>-5404.9</v>
      </c>
      <c r="L96" s="43">
        <f>Historicals!L154</f>
        <v>-5046.2</v>
      </c>
      <c r="M96" s="39">
        <f>-M37*M15</f>
        <v>-6606.2433107197885</v>
      </c>
      <c r="N96" s="39">
        <f>-N37*N15</f>
        <v>-7319.5793279062609</v>
      </c>
      <c r="O96" s="39">
        <f>-O37*O15</f>
        <v>-8011.5163353110656</v>
      </c>
      <c r="P96" s="39">
        <f>-P37*P15</f>
        <v>-8677.7334329052646</v>
      </c>
      <c r="Q96" s="39">
        <f>-Q37*Q15</f>
        <v>-9314.8725997973743</v>
      </c>
      <c r="R96" s="39"/>
    </row>
    <row r="97" spans="1:18" x14ac:dyDescent="0.3">
      <c r="D97" t="s">
        <v>239</v>
      </c>
      <c r="F97" t="s">
        <v>177</v>
      </c>
      <c r="H97" s="43">
        <f>Historicals!H156</f>
        <v>-536.20000000000005</v>
      </c>
      <c r="I97" s="43">
        <f>Historicals!I156</f>
        <v>-401.3</v>
      </c>
      <c r="J97" s="43">
        <f>Historicals!J156</f>
        <v>-904.6</v>
      </c>
      <c r="K97" s="43">
        <f>Historicals!K156</f>
        <v>-913.1</v>
      </c>
      <c r="L97" s="43">
        <f>Historicals!L156</f>
        <v>-806.1</v>
      </c>
      <c r="M97" s="39" cm="1">
        <f t="array" ref="M97:Q97">M122:Q122</f>
        <v>-813.8530485648904</v>
      </c>
      <c r="N97" s="39">
        <v>-813.8530485648904</v>
      </c>
      <c r="O97" s="39">
        <v>-813.8530485648904</v>
      </c>
      <c r="P97" s="39">
        <v>-813.8530485648904</v>
      </c>
      <c r="Q97" s="39">
        <v>-813.8530485648904</v>
      </c>
      <c r="R97" s="39"/>
    </row>
    <row r="98" spans="1:18" x14ac:dyDescent="0.3">
      <c r="D98" s="41" t="s">
        <v>240</v>
      </c>
      <c r="E98" s="41"/>
      <c r="F98" s="41" t="s">
        <v>177</v>
      </c>
      <c r="G98" s="41"/>
      <c r="H98" s="42">
        <f t="shared" ref="H98:Q98" si="17">SUM(H94:H97)</f>
        <v>-2717.5</v>
      </c>
      <c r="I98" s="42">
        <f t="shared" si="17"/>
        <v>3795.7</v>
      </c>
      <c r="J98" s="42">
        <f t="shared" si="17"/>
        <v>-17608.199999999997</v>
      </c>
      <c r="K98" s="42">
        <f t="shared" si="17"/>
        <v>-11450.1</v>
      </c>
      <c r="L98" s="42">
        <f t="shared" si="17"/>
        <v>-8109.9000000000005</v>
      </c>
      <c r="M98" s="42">
        <f t="shared" si="17"/>
        <v>-7420.0963592846792</v>
      </c>
      <c r="N98" s="42">
        <f t="shared" si="17"/>
        <v>-8133.4323764711517</v>
      </c>
      <c r="O98" s="42">
        <f t="shared" si="17"/>
        <v>-8825.3693838759555</v>
      </c>
      <c r="P98" s="42">
        <f t="shared" si="17"/>
        <v>-9491.5864814701545</v>
      </c>
      <c r="Q98" s="42">
        <f t="shared" si="17"/>
        <v>-10128.725648362264</v>
      </c>
      <c r="R98" s="39"/>
    </row>
    <row r="99" spans="1:18" x14ac:dyDescent="0.3">
      <c r="B99" s="34" t="s">
        <v>241</v>
      </c>
      <c r="F99" t="s">
        <v>177</v>
      </c>
      <c r="H99" s="40">
        <f t="shared" ref="H99:Q99" si="18">H98+H91+H83</f>
        <v>-53.899999999988722</v>
      </c>
      <c r="I99" s="40">
        <f t="shared" si="18"/>
        <v>554.600000000004</v>
      </c>
      <c r="J99" s="40">
        <f t="shared" si="18"/>
        <v>345.20000000001164</v>
      </c>
      <c r="K99" s="40">
        <f t="shared" si="18"/>
        <v>-2054.4000000000051</v>
      </c>
      <c r="L99" s="40">
        <f t="shared" si="18"/>
        <v>-1969.0999999999985</v>
      </c>
      <c r="M99" s="40">
        <f t="shared" si="18"/>
        <v>7643.7728230594475</v>
      </c>
      <c r="N99" s="40">
        <f t="shared" si="18"/>
        <v>11930.96567920312</v>
      </c>
      <c r="O99" s="40">
        <f t="shared" si="18"/>
        <v>13506.239295558447</v>
      </c>
      <c r="P99" s="40">
        <f t="shared" si="18"/>
        <v>15074.888064638262</v>
      </c>
      <c r="Q99" s="40">
        <f t="shared" si="18"/>
        <v>16615.864357090417</v>
      </c>
      <c r="R99" s="39"/>
    </row>
    <row r="100" spans="1:18" x14ac:dyDescent="0.3">
      <c r="D100" t="s">
        <v>242</v>
      </c>
      <c r="F100" t="s">
        <v>177</v>
      </c>
      <c r="H100" s="43">
        <f>Historicals!H159+Historicals!H160</f>
        <v>1796.1000000000001</v>
      </c>
      <c r="I100" s="43">
        <f>H44</f>
        <v>1742.2</v>
      </c>
      <c r="J100" s="43">
        <f t="shared" ref="J100:Q100" si="19">I44</f>
        <v>2321.8000000000002</v>
      </c>
      <c r="K100" s="43">
        <f t="shared" si="19"/>
        <v>2738</v>
      </c>
      <c r="L100" s="43">
        <f t="shared" si="19"/>
        <v>4550.7</v>
      </c>
      <c r="M100" s="43">
        <f t="shared" si="19"/>
        <v>3041.4</v>
      </c>
      <c r="N100" s="43">
        <f t="shared" si="19"/>
        <v>10685.172823059447</v>
      </c>
      <c r="O100" s="43">
        <f t="shared" si="19"/>
        <v>22616.138502262569</v>
      </c>
      <c r="P100" s="43">
        <f t="shared" si="19"/>
        <v>36122.377797821013</v>
      </c>
      <c r="Q100" s="43">
        <f t="shared" si="19"/>
        <v>51197.265862459273</v>
      </c>
      <c r="R100" s="39"/>
    </row>
    <row r="101" spans="1:18" x14ac:dyDescent="0.3">
      <c r="D101" s="41" t="s">
        <v>243</v>
      </c>
      <c r="E101" s="41"/>
      <c r="F101" s="41" t="s">
        <v>177</v>
      </c>
      <c r="G101" s="41"/>
      <c r="H101" s="42">
        <f t="shared" ref="H101:Q101" si="20">SUM(H99:H100)</f>
        <v>1742.2000000000114</v>
      </c>
      <c r="I101" s="42">
        <f t="shared" si="20"/>
        <v>2296.8000000000038</v>
      </c>
      <c r="J101" s="42">
        <f t="shared" si="20"/>
        <v>2667.0000000000118</v>
      </c>
      <c r="K101" s="42">
        <f t="shared" si="20"/>
        <v>683.59999999999491</v>
      </c>
      <c r="L101" s="42">
        <f t="shared" si="20"/>
        <v>2581.6000000000013</v>
      </c>
      <c r="M101" s="42">
        <f t="shared" si="20"/>
        <v>10685.172823059447</v>
      </c>
      <c r="N101" s="42">
        <f t="shared" si="20"/>
        <v>22616.138502262569</v>
      </c>
      <c r="O101" s="42">
        <f t="shared" si="20"/>
        <v>36122.377797821013</v>
      </c>
      <c r="P101" s="42">
        <f t="shared" si="20"/>
        <v>51197.265862459273</v>
      </c>
      <c r="Q101" s="42">
        <f t="shared" si="20"/>
        <v>67813.130219549697</v>
      </c>
      <c r="R101" s="39"/>
    </row>
    <row r="102" spans="1:18" x14ac:dyDescent="0.3"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</row>
    <row r="103" spans="1:18" ht="21" x14ac:dyDescent="0.4">
      <c r="A103" s="35" t="s">
        <v>244</v>
      </c>
      <c r="B103" s="36"/>
      <c r="C103" s="36"/>
      <c r="D103" s="37"/>
      <c r="E103" s="37"/>
      <c r="F103" s="37"/>
      <c r="G103" s="37"/>
      <c r="H103" s="37"/>
      <c r="I103" s="37"/>
      <c r="J103" s="37"/>
      <c r="K103" s="37"/>
      <c r="L103" s="37"/>
      <c r="M103" s="133"/>
      <c r="N103" s="61"/>
      <c r="O103" s="61"/>
      <c r="P103" s="61"/>
      <c r="Q103" s="61"/>
    </row>
    <row r="104" spans="1:18" x14ac:dyDescent="0.3"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</row>
    <row r="105" spans="1:18" x14ac:dyDescent="0.3">
      <c r="C105" s="34" t="s">
        <v>245</v>
      </c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</row>
    <row r="106" spans="1:18" x14ac:dyDescent="0.3">
      <c r="D106" t="s">
        <v>246</v>
      </c>
      <c r="F106" t="s">
        <v>177</v>
      </c>
      <c r="H106" s="43">
        <f>Historicals!H130</f>
        <v>-257.60000000000002</v>
      </c>
      <c r="I106" s="43">
        <f>Historicals!I130</f>
        <v>-2217.5</v>
      </c>
      <c r="J106" s="43">
        <f>Historicals!J130</f>
        <v>-1347.1</v>
      </c>
      <c r="K106" s="43">
        <f>Historicals!K130</f>
        <v>-2219.9</v>
      </c>
      <c r="L106" s="43">
        <f>Historicals!L130</f>
        <v>-2185.5</v>
      </c>
      <c r="M106" s="39">
        <f t="shared" ref="M106:Q107" si="21">L46-M46</f>
        <v>-1332.1323335414927</v>
      </c>
      <c r="N106" s="39">
        <f t="shared" si="21"/>
        <v>-2313.5222776851951</v>
      </c>
      <c r="O106" s="39">
        <f t="shared" si="21"/>
        <v>-2242.2889267552637</v>
      </c>
      <c r="P106" s="39">
        <f t="shared" si="21"/>
        <v>-2153.7115630527624</v>
      </c>
      <c r="Q106" s="39">
        <f t="shared" si="21"/>
        <v>-2051.9319810504931</v>
      </c>
      <c r="R106" s="39"/>
    </row>
    <row r="107" spans="1:18" x14ac:dyDescent="0.3">
      <c r="D107" t="s">
        <v>194</v>
      </c>
      <c r="F107" t="s">
        <v>177</v>
      </c>
      <c r="H107" s="43">
        <f>Historicals!H132</f>
        <v>-4977</v>
      </c>
      <c r="I107" s="43">
        <f>Historicals!I132</f>
        <v>-6731.4</v>
      </c>
      <c r="J107" s="43">
        <f>Historicals!J132</f>
        <v>4734.1000000000004</v>
      </c>
      <c r="K107" s="43">
        <f>Historicals!K132</f>
        <v>-734</v>
      </c>
      <c r="L107" s="43">
        <f>Historicals!L132</f>
        <v>-2612.3000000000002</v>
      </c>
      <c r="M107" s="39">
        <f t="shared" si="21"/>
        <v>-4471.6852918076838</v>
      </c>
      <c r="N107" s="39">
        <f t="shared" si="21"/>
        <v>-2998.924890970884</v>
      </c>
      <c r="O107" s="39">
        <f t="shared" si="21"/>
        <v>-2906.5879935778867</v>
      </c>
      <c r="P107" s="39">
        <f t="shared" si="21"/>
        <v>-2791.7687574087759</v>
      </c>
      <c r="Q107" s="39">
        <f t="shared" si="21"/>
        <v>-2659.8360222874326</v>
      </c>
      <c r="R107" s="39"/>
    </row>
    <row r="108" spans="1:18" x14ac:dyDescent="0.3">
      <c r="D108" t="s">
        <v>205</v>
      </c>
      <c r="F108" t="s">
        <v>177</v>
      </c>
      <c r="H108" s="43">
        <f>Historicals!H133</f>
        <v>2124.1999999999998</v>
      </c>
      <c r="I108" s="43">
        <f>Historicals!I133</f>
        <v>3344.9</v>
      </c>
      <c r="J108" s="43">
        <f>Historicals!J133</f>
        <v>145.1</v>
      </c>
      <c r="K108" s="43">
        <f>Historicals!K133</f>
        <v>5252.8</v>
      </c>
      <c r="L108" s="43">
        <f>Historicals!L133</f>
        <v>2166.5</v>
      </c>
      <c r="M108" s="39">
        <f>M59-L59</f>
        <v>-748.15179994669597</v>
      </c>
      <c r="N108" s="39">
        <f>N59-M59</f>
        <v>1570.4359898047405</v>
      </c>
      <c r="O108" s="39">
        <f>O59-N59</f>
        <v>1522.0822656786549</v>
      </c>
      <c r="P108" s="39">
        <f>P59-O59</f>
        <v>1461.9552977293242</v>
      </c>
      <c r="Q108" s="39">
        <f>Q59-P59</f>
        <v>1392.8665666004563</v>
      </c>
      <c r="R108" s="39"/>
    </row>
    <row r="109" spans="1:18" x14ac:dyDescent="0.3">
      <c r="D109" t="s">
        <v>247</v>
      </c>
      <c r="F109" t="s">
        <v>177</v>
      </c>
      <c r="H109" s="43">
        <f>Historicals!H134+Historicals!H131</f>
        <v>-301.20000000000005</v>
      </c>
      <c r="I109" s="43">
        <f>Historicals!I134+Historicals!I131</f>
        <v>154.40000000000003</v>
      </c>
      <c r="J109" s="43">
        <f>Historicals!J134+Historicals!J131</f>
        <v>-264.40000000000003</v>
      </c>
      <c r="K109" s="43">
        <f>Historicals!K134+Historicals!K131</f>
        <v>-2815.8</v>
      </c>
      <c r="L109" s="43">
        <f>Historicals!L134+Historicals!L131</f>
        <v>491.6</v>
      </c>
      <c r="M109" s="39">
        <f>L48-M48+M60-L60</f>
        <v>0</v>
      </c>
      <c r="N109" s="39">
        <f>M48-N48+N60-M60</f>
        <v>0</v>
      </c>
      <c r="O109" s="39">
        <f>N48-O48+O60-N60</f>
        <v>0</v>
      </c>
      <c r="P109" s="39">
        <f>O48-P48+P60-O60</f>
        <v>0</v>
      </c>
      <c r="Q109" s="39">
        <f>P48-Q48+Q60-P60</f>
        <v>0</v>
      </c>
    </row>
    <row r="110" spans="1:18" x14ac:dyDescent="0.3">
      <c r="D110" s="41" t="s">
        <v>248</v>
      </c>
      <c r="E110" s="41"/>
      <c r="F110" s="41" t="s">
        <v>177</v>
      </c>
      <c r="G110" s="41"/>
      <c r="H110" s="42">
        <f t="shared" ref="H110:Q110" si="22">SUM(H106:H109)</f>
        <v>-3411.6000000000004</v>
      </c>
      <c r="I110" s="42">
        <f t="shared" si="22"/>
        <v>-5449.6</v>
      </c>
      <c r="J110" s="42">
        <f t="shared" si="22"/>
        <v>3267.7000000000003</v>
      </c>
      <c r="K110" s="42">
        <f t="shared" si="22"/>
        <v>-516.90000000000009</v>
      </c>
      <c r="L110" s="42">
        <f t="shared" si="22"/>
        <v>-2139.7000000000003</v>
      </c>
      <c r="M110" s="42">
        <f t="shared" si="22"/>
        <v>-6551.9694252958725</v>
      </c>
      <c r="N110" s="42">
        <f t="shared" si="22"/>
        <v>-3742.0111788513386</v>
      </c>
      <c r="O110" s="42">
        <f t="shared" si="22"/>
        <v>-3626.7946546544954</v>
      </c>
      <c r="P110" s="42">
        <f t="shared" si="22"/>
        <v>-3483.525022732214</v>
      </c>
      <c r="Q110" s="42">
        <f t="shared" si="22"/>
        <v>-3318.9014367374693</v>
      </c>
    </row>
    <row r="111" spans="1:18" x14ac:dyDescent="0.3">
      <c r="C111" s="43"/>
    </row>
    <row r="112" spans="1:18" x14ac:dyDescent="0.3">
      <c r="C112" s="34" t="s">
        <v>249</v>
      </c>
    </row>
    <row r="113" spans="1:18" x14ac:dyDescent="0.3">
      <c r="D113" t="s">
        <v>250</v>
      </c>
      <c r="F113" t="s">
        <v>177</v>
      </c>
      <c r="H113" s="43">
        <v>0</v>
      </c>
      <c r="I113" s="43">
        <f t="shared" ref="I113:Q113" si="23">H116</f>
        <v>27908.699999999997</v>
      </c>
      <c r="J113" s="43">
        <f t="shared" si="23"/>
        <v>28381.200000000001</v>
      </c>
      <c r="K113" s="43">
        <f t="shared" si="23"/>
        <v>25929.200000000001</v>
      </c>
      <c r="L113" s="43">
        <f t="shared" si="23"/>
        <v>26146.1</v>
      </c>
      <c r="M113" s="39">
        <f t="shared" si="23"/>
        <v>29772.7</v>
      </c>
      <c r="N113" s="39">
        <f t="shared" si="23"/>
        <v>29249.001645227054</v>
      </c>
      <c r="O113" s="39">
        <f t="shared" si="23"/>
        <v>28724.363282563096</v>
      </c>
      <c r="P113" s="39">
        <f t="shared" si="23"/>
        <v>28171.67580744702</v>
      </c>
      <c r="Q113" s="39">
        <f t="shared" si="23"/>
        <v>27572.388173262625</v>
      </c>
    </row>
    <row r="114" spans="1:18" x14ac:dyDescent="0.3">
      <c r="D114" t="s">
        <v>251</v>
      </c>
      <c r="F114" t="s">
        <v>177</v>
      </c>
      <c r="H114" s="43">
        <v>0</v>
      </c>
      <c r="I114" s="43">
        <f>I116-I113-I115</f>
        <v>3512.1000000000035</v>
      </c>
      <c r="J114" s="43">
        <f>J116-J113-J115</f>
        <v>652.19999999999982</v>
      </c>
      <c r="K114" s="43">
        <f>K116-K113-K115</f>
        <v>3209.8999999999978</v>
      </c>
      <c r="L114" s="43">
        <f>L116-L113-L115</f>
        <v>7198.2000000000025</v>
      </c>
      <c r="M114" s="39">
        <f>(M24-L24)/M19</f>
        <v>2976.9670632621142</v>
      </c>
      <c r="N114" s="39">
        <f>(N24-M24)/N19</f>
        <v>2914.4507549336049</v>
      </c>
      <c r="O114" s="39">
        <f>(O24-N24)/O19</f>
        <v>2824.7148161892028</v>
      </c>
      <c r="P114" s="39">
        <f>(P24-O24)/P19</f>
        <v>2713.1298243338006</v>
      </c>
      <c r="Q114" s="39">
        <f>(Q24-P24)/Q19</f>
        <v>2584.9133889597183</v>
      </c>
    </row>
    <row r="115" spans="1:18" x14ac:dyDescent="0.3">
      <c r="D115" t="s">
        <v>252</v>
      </c>
      <c r="F115" t="s">
        <v>177</v>
      </c>
      <c r="H115" s="43">
        <f>-H77</f>
        <v>-2745.8</v>
      </c>
      <c r="I115" s="43">
        <f>-I77</f>
        <v>-3039.6</v>
      </c>
      <c r="J115" s="43">
        <f>-J77</f>
        <v>-3104.2</v>
      </c>
      <c r="K115" s="43">
        <f>-K77</f>
        <v>-2993</v>
      </c>
      <c r="L115" s="43">
        <f>-L77</f>
        <v>-3571.6</v>
      </c>
      <c r="M115" s="39">
        <f>-M113*M11</f>
        <v>-3500.6654180350611</v>
      </c>
      <c r="N115" s="39">
        <f>-N113*N11</f>
        <v>-3439.0891175975626</v>
      </c>
      <c r="O115" s="39">
        <f>-O113*O11</f>
        <v>-3377.4022913052795</v>
      </c>
      <c r="P115" s="39">
        <f>-P113*P11</f>
        <v>-3312.4174585181977</v>
      </c>
      <c r="Q115" s="39">
        <f>-Q113*Q11</f>
        <v>-3241.9533925636365</v>
      </c>
    </row>
    <row r="116" spans="1:18" x14ac:dyDescent="0.3">
      <c r="D116" s="41" t="s">
        <v>253</v>
      </c>
      <c r="E116" s="41"/>
      <c r="F116" s="41" t="s">
        <v>177</v>
      </c>
      <c r="G116" s="41"/>
      <c r="H116" s="42">
        <f>H51</f>
        <v>27908.699999999997</v>
      </c>
      <c r="I116" s="42">
        <f>I51</f>
        <v>28381.200000000001</v>
      </c>
      <c r="J116" s="42">
        <f>J51</f>
        <v>25929.200000000001</v>
      </c>
      <c r="K116" s="42">
        <f>K51</f>
        <v>26146.1</v>
      </c>
      <c r="L116" s="42">
        <f>L51</f>
        <v>29772.7</v>
      </c>
      <c r="M116" s="42">
        <f>SUM(M113:M115)</f>
        <v>29249.001645227054</v>
      </c>
      <c r="N116" s="42">
        <f>SUM(N113:N115)</f>
        <v>28724.363282563096</v>
      </c>
      <c r="O116" s="42">
        <f>SUM(O113:O115)</f>
        <v>28171.67580744702</v>
      </c>
      <c r="P116" s="42">
        <f>SUM(P113:P115)</f>
        <v>27572.388173262625</v>
      </c>
      <c r="Q116" s="42">
        <f>SUM(Q113:Q115)</f>
        <v>26915.348169658708</v>
      </c>
    </row>
    <row r="118" spans="1:18" x14ac:dyDescent="0.3">
      <c r="C118" s="34" t="s">
        <v>254</v>
      </c>
    </row>
    <row r="119" spans="1:18" x14ac:dyDescent="0.3">
      <c r="D119" t="s">
        <v>255</v>
      </c>
      <c r="F119" t="s">
        <v>177</v>
      </c>
      <c r="H119" s="43">
        <v>0</v>
      </c>
      <c r="I119" s="43">
        <f t="shared" ref="I119:Q119" si="24">H121</f>
        <v>17919.8</v>
      </c>
      <c r="J119" s="43">
        <f t="shared" si="24"/>
        <v>26681.9</v>
      </c>
      <c r="K119" s="43">
        <f t="shared" si="24"/>
        <v>13966.8</v>
      </c>
      <c r="L119" s="43">
        <f t="shared" si="24"/>
        <v>14184.1</v>
      </c>
      <c r="M119" s="39">
        <f t="shared" si="24"/>
        <v>13809</v>
      </c>
      <c r="N119" s="39">
        <f t="shared" si="24"/>
        <v>13809</v>
      </c>
      <c r="O119" s="39">
        <f t="shared" si="24"/>
        <v>13809</v>
      </c>
      <c r="P119" s="39">
        <f t="shared" si="24"/>
        <v>13809</v>
      </c>
      <c r="Q119" s="39">
        <f t="shared" si="24"/>
        <v>13809</v>
      </c>
    </row>
    <row r="120" spans="1:18" x14ac:dyDescent="0.3">
      <c r="D120" t="s">
        <v>256</v>
      </c>
      <c r="F120" t="s">
        <v>177</v>
      </c>
      <c r="H120" s="43">
        <v>0</v>
      </c>
      <c r="I120" s="43">
        <f>I121-I119</f>
        <v>8762.1000000000022</v>
      </c>
      <c r="J120" s="43">
        <f>J121-J119</f>
        <v>-12715.100000000002</v>
      </c>
      <c r="K120" s="43">
        <f>K121-K119</f>
        <v>217.30000000000109</v>
      </c>
      <c r="L120" s="43">
        <f>L121-L119</f>
        <v>-375.10000000000036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8" x14ac:dyDescent="0.3">
      <c r="D121" s="41" t="s">
        <v>257</v>
      </c>
      <c r="E121" s="41"/>
      <c r="F121" s="41" t="s">
        <v>177</v>
      </c>
      <c r="G121" s="41"/>
      <c r="H121" s="42">
        <f>H62</f>
        <v>17919.8</v>
      </c>
      <c r="I121" s="42">
        <f>I62</f>
        <v>26681.9</v>
      </c>
      <c r="J121" s="42">
        <f>J62</f>
        <v>13966.8</v>
      </c>
      <c r="K121" s="42">
        <f>K62</f>
        <v>14184.1</v>
      </c>
      <c r="L121" s="42">
        <f>L62</f>
        <v>13809</v>
      </c>
      <c r="M121" s="42">
        <f>SUM(M119:M120)</f>
        <v>13809</v>
      </c>
      <c r="N121" s="42">
        <f>SUM(N119:N120)</f>
        <v>13809</v>
      </c>
      <c r="O121" s="42">
        <f>SUM(O119:O120)</f>
        <v>13809</v>
      </c>
      <c r="P121" s="42">
        <f>SUM(P119:P120)</f>
        <v>13809</v>
      </c>
      <c r="Q121" s="42">
        <f>SUM(Q119:Q120)</f>
        <v>13809</v>
      </c>
    </row>
    <row r="122" spans="1:18" x14ac:dyDescent="0.3">
      <c r="D122" t="s">
        <v>258</v>
      </c>
      <c r="F122" t="s">
        <v>177</v>
      </c>
      <c r="H122" s="43">
        <f>H33</f>
        <v>-589.20000000000005</v>
      </c>
      <c r="I122" s="43">
        <f>I33</f>
        <v>-523.70000000000005</v>
      </c>
      <c r="J122" s="43">
        <f>J33</f>
        <v>-1073.5999999999999</v>
      </c>
      <c r="K122" s="43">
        <f>K33</f>
        <v>-1124.0999999999999</v>
      </c>
      <c r="L122" s="43">
        <f>L33</f>
        <v>-1217</v>
      </c>
      <c r="M122" s="71">
        <f>-M121*M12</f>
        <v>-813.8530485648904</v>
      </c>
      <c r="N122" s="71">
        <f>-N121*N12</f>
        <v>-813.8530485648904</v>
      </c>
      <c r="O122" s="71">
        <f>-O121*O12</f>
        <v>-813.8530485648904</v>
      </c>
      <c r="P122" s="71">
        <f>-P121*P12</f>
        <v>-813.8530485648904</v>
      </c>
      <c r="Q122" s="71">
        <f>-Q121*Q12</f>
        <v>-813.8530485648904</v>
      </c>
    </row>
    <row r="125" spans="1:18" ht="21" x14ac:dyDescent="0.4">
      <c r="A125" s="35" t="s">
        <v>417</v>
      </c>
      <c r="B125" s="36"/>
      <c r="C125" s="36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</row>
    <row r="127" spans="1:18" x14ac:dyDescent="0.3">
      <c r="D127" s="106" t="s">
        <v>418</v>
      </c>
      <c r="E127" s="106"/>
    </row>
    <row r="128" spans="1:18" x14ac:dyDescent="0.3">
      <c r="D128" t="s">
        <v>419</v>
      </c>
      <c r="E128" s="138">
        <v>46079</v>
      </c>
    </row>
    <row r="129" spans="4:18" x14ac:dyDescent="0.3">
      <c r="D129" t="s">
        <v>420</v>
      </c>
      <c r="E129" s="138">
        <v>46112</v>
      </c>
    </row>
    <row r="130" spans="4:18" x14ac:dyDescent="0.3">
      <c r="D130" t="s">
        <v>344</v>
      </c>
      <c r="E130" s="108">
        <f>WACC!H35</f>
        <v>0.13624256155349199</v>
      </c>
    </row>
    <row r="131" spans="4:18" x14ac:dyDescent="0.3">
      <c r="D131" t="s">
        <v>433</v>
      </c>
      <c r="E131" s="145">
        <f>Comps!T18</f>
        <v>24.857306665477619</v>
      </c>
    </row>
    <row r="132" spans="4:18" x14ac:dyDescent="0.3">
      <c r="D132" t="s">
        <v>434</v>
      </c>
      <c r="E132" s="53">
        <v>0.06</v>
      </c>
    </row>
    <row r="133" spans="4:18" x14ac:dyDescent="0.3">
      <c r="D133" t="s">
        <v>435</v>
      </c>
      <c r="E133" s="108">
        <f>WACC!H45</f>
        <v>9.9840668529013896E-2</v>
      </c>
    </row>
    <row r="134" spans="4:18" x14ac:dyDescent="0.3">
      <c r="D134" t="s">
        <v>441</v>
      </c>
      <c r="E134">
        <f>Comps_Data!G9</f>
        <v>119.60000000000001</v>
      </c>
      <c r="F134" t="s">
        <v>442</v>
      </c>
    </row>
    <row r="140" spans="4:18" x14ac:dyDescent="0.3">
      <c r="D140" s="106" t="s">
        <v>421</v>
      </c>
      <c r="E140" s="106"/>
      <c r="F140" s="106"/>
      <c r="G140" s="106"/>
      <c r="H140" s="106" t="s">
        <v>422</v>
      </c>
      <c r="I140" s="106">
        <f>+YEAR(E129)</f>
        <v>2026</v>
      </c>
      <c r="J140" s="106">
        <f>I140+1</f>
        <v>2027</v>
      </c>
      <c r="K140" s="106">
        <f t="shared" ref="K140:M140" si="25">J140+1</f>
        <v>2028</v>
      </c>
      <c r="L140" s="106">
        <f t="shared" si="25"/>
        <v>2029</v>
      </c>
      <c r="M140" s="106">
        <f t="shared" si="25"/>
        <v>2030</v>
      </c>
      <c r="N140" s="106" t="s">
        <v>424</v>
      </c>
      <c r="P140" s="106" t="s">
        <v>431</v>
      </c>
    </row>
    <row r="141" spans="4:18" x14ac:dyDescent="0.3">
      <c r="D141" t="s">
        <v>335</v>
      </c>
      <c r="H141" s="139">
        <f>E128</f>
        <v>46079</v>
      </c>
      <c r="I141" s="139">
        <f>DATE(YEAR($H$141)+I142,MONTH($E$129),DAY($E$129))</f>
        <v>46112</v>
      </c>
      <c r="J141" s="139">
        <f t="shared" ref="J141:M141" si="26">DATE(YEAR($H$141)+J142,MONTH($E$129),DAY($E$129))</f>
        <v>46477</v>
      </c>
      <c r="K141" s="139">
        <f t="shared" si="26"/>
        <v>46843</v>
      </c>
      <c r="L141" s="139">
        <f t="shared" si="26"/>
        <v>47208</v>
      </c>
      <c r="M141" s="139">
        <f t="shared" si="26"/>
        <v>47573</v>
      </c>
      <c r="N141" s="139">
        <f>M141</f>
        <v>47573</v>
      </c>
      <c r="P141" t="s">
        <v>302</v>
      </c>
      <c r="Q141" s="26"/>
      <c r="R141" s="147">
        <f>(M146+M149)*E131</f>
        <v>832808.8018923467</v>
      </c>
    </row>
    <row r="142" spans="4:18" x14ac:dyDescent="0.3">
      <c r="D142" t="s">
        <v>423</v>
      </c>
      <c r="I142">
        <v>0</v>
      </c>
      <c r="J142">
        <f>I142+1</f>
        <v>1</v>
      </c>
      <c r="K142">
        <f t="shared" ref="K142:M142" si="27">J142+1</f>
        <v>2</v>
      </c>
      <c r="L142">
        <f t="shared" si="27"/>
        <v>3</v>
      </c>
      <c r="M142">
        <f t="shared" si="27"/>
        <v>4</v>
      </c>
      <c r="P142" t="s">
        <v>432</v>
      </c>
      <c r="R142" s="147">
        <f>M152*(1+E132)/(E133-E132)</f>
        <v>624624.45132091409</v>
      </c>
    </row>
    <row r="143" spans="4:18" x14ac:dyDescent="0.3">
      <c r="D143" t="s">
        <v>425</v>
      </c>
      <c r="I143" s="140">
        <f>YEARFRAC(H141,I141,)</f>
        <v>9.7222222222222224E-2</v>
      </c>
      <c r="J143" s="140">
        <f t="shared" ref="J143:M143" si="28">YEARFRAC(I141,J141,)</f>
        <v>1</v>
      </c>
      <c r="K143" s="140">
        <f t="shared" si="28"/>
        <v>1</v>
      </c>
      <c r="L143" s="140">
        <f t="shared" si="28"/>
        <v>1</v>
      </c>
      <c r="M143" s="140">
        <f t="shared" si="28"/>
        <v>1</v>
      </c>
      <c r="N143" s="141">
        <v>1</v>
      </c>
      <c r="P143" s="4" t="s">
        <v>317</v>
      </c>
      <c r="Q143" s="4"/>
      <c r="R143" s="149">
        <f>AVERAGE(R141:R142)</f>
        <v>728716.62660663039</v>
      </c>
    </row>
    <row r="145" spans="4:14" x14ac:dyDescent="0.3">
      <c r="I145" s="39"/>
      <c r="J145" s="39"/>
      <c r="K145" s="39"/>
      <c r="L145" s="39"/>
      <c r="M145" s="39"/>
    </row>
    <row r="146" spans="4:14" x14ac:dyDescent="0.3">
      <c r="D146" t="s">
        <v>184</v>
      </c>
      <c r="I146" s="39">
        <f>M32</f>
        <v>21557.198061996169</v>
      </c>
      <c r="J146" s="39">
        <f t="shared" ref="J146:M146" si="29">N32</f>
        <v>23848.924212156438</v>
      </c>
      <c r="K146" s="39">
        <f t="shared" si="29"/>
        <v>26072.094574298531</v>
      </c>
      <c r="L146" s="39">
        <f t="shared" si="29"/>
        <v>28213.177642670424</v>
      </c>
      <c r="M146" s="39">
        <f t="shared" si="29"/>
        <v>30261.628194132165</v>
      </c>
    </row>
    <row r="147" spans="4:14" x14ac:dyDescent="0.3">
      <c r="D147" s="142" t="s">
        <v>426</v>
      </c>
      <c r="E147" s="142"/>
      <c r="F147" s="142"/>
      <c r="G147" s="142"/>
      <c r="H147" s="142"/>
      <c r="I147" s="143">
        <f>I146*-$E$130</f>
        <v>-2937.007883882331</v>
      </c>
      <c r="J147" s="143">
        <f t="shared" ref="J147:M147" si="30">J146*-$E$130</f>
        <v>-3249.238524959289</v>
      </c>
      <c r="K147" s="143">
        <f t="shared" si="30"/>
        <v>-3552.1289498673323</v>
      </c>
      <c r="L147" s="143">
        <f t="shared" si="30"/>
        <v>-3843.8355916011292</v>
      </c>
      <c r="M147" s="143">
        <f t="shared" si="30"/>
        <v>-4122.9217419479401</v>
      </c>
    </row>
    <row r="148" spans="4:14" x14ac:dyDescent="0.3">
      <c r="D148" t="s">
        <v>427</v>
      </c>
      <c r="I148" s="39">
        <f>SUM(I146:I147)</f>
        <v>18620.190178113837</v>
      </c>
      <c r="J148" s="39">
        <f t="shared" ref="J148:M148" si="31">SUM(J146:J147)</f>
        <v>20599.68568719715</v>
      </c>
      <c r="K148" s="39">
        <f t="shared" si="31"/>
        <v>22519.965624431199</v>
      </c>
      <c r="L148" s="39">
        <f t="shared" si="31"/>
        <v>24369.342051069296</v>
      </c>
      <c r="M148" s="39">
        <f t="shared" si="31"/>
        <v>26138.706452184226</v>
      </c>
    </row>
    <row r="149" spans="4:14" x14ac:dyDescent="0.3">
      <c r="D149" t="s">
        <v>428</v>
      </c>
      <c r="I149" s="39">
        <f>-M115</f>
        <v>3500.6654180350611</v>
      </c>
      <c r="J149" s="39">
        <f t="shared" ref="J149:M149" si="32">-N115</f>
        <v>3439.0891175975626</v>
      </c>
      <c r="K149" s="39">
        <f t="shared" si="32"/>
        <v>3377.4022913052795</v>
      </c>
      <c r="L149" s="39">
        <f t="shared" si="32"/>
        <v>3312.4174585181977</v>
      </c>
      <c r="M149" s="39">
        <f t="shared" si="32"/>
        <v>3241.9533925636365</v>
      </c>
    </row>
    <row r="150" spans="4:14" x14ac:dyDescent="0.3">
      <c r="D150" t="s">
        <v>457</v>
      </c>
      <c r="I150" s="39">
        <f>-M114</f>
        <v>-2976.9670632621142</v>
      </c>
      <c r="J150" s="39">
        <f t="shared" ref="J150:M150" si="33">-N114</f>
        <v>-2914.4507549336049</v>
      </c>
      <c r="K150" s="39">
        <f t="shared" si="33"/>
        <v>-2824.7148161892028</v>
      </c>
      <c r="L150" s="39">
        <f t="shared" si="33"/>
        <v>-2713.1298243338006</v>
      </c>
      <c r="M150" s="39">
        <f t="shared" si="33"/>
        <v>-2584.9133889597183</v>
      </c>
    </row>
    <row r="151" spans="4:14" x14ac:dyDescent="0.3">
      <c r="D151" t="s">
        <v>456</v>
      </c>
      <c r="I151" s="39">
        <f>M80</f>
        <v>-6551.9694252958725</v>
      </c>
      <c r="J151" s="39">
        <f>N80</f>
        <v>-3742.0111788513386</v>
      </c>
      <c r="K151" s="39">
        <f>O80</f>
        <v>-3626.7946546544954</v>
      </c>
      <c r="L151" s="39">
        <f>P80</f>
        <v>-3483.525022732214</v>
      </c>
      <c r="M151" s="39">
        <f>Q80</f>
        <v>-3318.9014367374693</v>
      </c>
    </row>
    <row r="152" spans="4:14" x14ac:dyDescent="0.3">
      <c r="D152" s="41" t="s">
        <v>429</v>
      </c>
      <c r="E152" s="26"/>
      <c r="F152" s="26"/>
      <c r="G152" s="26"/>
      <c r="H152" s="26"/>
      <c r="I152" s="144">
        <f>SUM(I148:I151)</f>
        <v>12591.919107590911</v>
      </c>
      <c r="J152" s="144">
        <f>SUM(J148:J151)</f>
        <v>17382.31287100977</v>
      </c>
      <c r="K152" s="144">
        <f>SUM(K148:K151)</f>
        <v>19445.85844489278</v>
      </c>
      <c r="L152" s="144">
        <f>SUM(L148:L151)</f>
        <v>21485.104662521477</v>
      </c>
      <c r="M152" s="144">
        <f>SUM(M148:M151)</f>
        <v>23476.845019050674</v>
      </c>
      <c r="N152" s="148">
        <f>R143</f>
        <v>728716.62660663039</v>
      </c>
    </row>
    <row r="154" spans="4:14" x14ac:dyDescent="0.3">
      <c r="D154" t="s">
        <v>430</v>
      </c>
      <c r="H154">
        <v>0</v>
      </c>
      <c r="I154">
        <f>I152*I143</f>
        <v>1224.2143576824496</v>
      </c>
      <c r="J154">
        <f>J152*J143</f>
        <v>17382.31287100977</v>
      </c>
      <c r="K154">
        <f>K152*K143</f>
        <v>19445.85844489278</v>
      </c>
      <c r="L154">
        <f>L152*L143</f>
        <v>21485.104662521477</v>
      </c>
      <c r="M154">
        <f>M152*M143</f>
        <v>23476.845019050674</v>
      </c>
      <c r="N154">
        <f>N152*N143</f>
        <v>728716.62660663039</v>
      </c>
    </row>
    <row r="158" spans="4:14" x14ac:dyDescent="0.3">
      <c r="D158" s="106" t="s">
        <v>436</v>
      </c>
      <c r="E158" s="142"/>
      <c r="H158" s="106" t="s">
        <v>444</v>
      </c>
      <c r="I158" s="142"/>
      <c r="J158" s="142"/>
      <c r="L158" s="106" t="s">
        <v>449</v>
      </c>
      <c r="M158" s="142"/>
      <c r="N158" s="142"/>
    </row>
    <row r="159" spans="4:14" x14ac:dyDescent="0.3">
      <c r="D159" t="s">
        <v>437</v>
      </c>
      <c r="E159" s="86">
        <f>XNPV(E133,H154:N154,H141:N141)</f>
        <v>558342.24115968368</v>
      </c>
      <c r="H159" t="s">
        <v>292</v>
      </c>
      <c r="J159" s="86">
        <f>Comps_Data!F9</f>
        <v>688613.20000000007</v>
      </c>
      <c r="L159" t="s">
        <v>450</v>
      </c>
      <c r="M159" s="86">
        <f>J165</f>
        <v>5757.635451505017</v>
      </c>
    </row>
    <row r="160" spans="4:14" x14ac:dyDescent="0.3">
      <c r="D160" t="s">
        <v>438</v>
      </c>
      <c r="E160" s="39">
        <f>L44+L45+L53</f>
        <v>61430.899999999994</v>
      </c>
      <c r="H160" t="s">
        <v>445</v>
      </c>
      <c r="J160" s="39">
        <f>-E161</f>
        <v>13809</v>
      </c>
      <c r="L160" t="s">
        <v>451</v>
      </c>
      <c r="M160" s="86">
        <f>E165</f>
        <v>5029.0680698970209</v>
      </c>
    </row>
    <row r="161" spans="1:17" x14ac:dyDescent="0.3">
      <c r="D161" t="s">
        <v>439</v>
      </c>
      <c r="E161" s="39">
        <f>-L121</f>
        <v>-13809</v>
      </c>
      <c r="H161" t="s">
        <v>446</v>
      </c>
      <c r="J161" s="39">
        <f>-E162</f>
        <v>4487.6000000000004</v>
      </c>
      <c r="L161" t="s">
        <v>452</v>
      </c>
      <c r="M161" s="56">
        <f>M160/M159-1</f>
        <v>-0.12653933854349053</v>
      </c>
    </row>
    <row r="162" spans="1:17" x14ac:dyDescent="0.3">
      <c r="D162" t="s">
        <v>440</v>
      </c>
      <c r="E162" s="39">
        <f>-L69</f>
        <v>-4487.6000000000004</v>
      </c>
      <c r="H162" t="s">
        <v>447</v>
      </c>
      <c r="J162" s="39">
        <f>-E160</f>
        <v>-61430.899999999994</v>
      </c>
      <c r="M162" s="56"/>
    </row>
    <row r="163" spans="1:17" x14ac:dyDescent="0.3">
      <c r="D163" t="s">
        <v>322</v>
      </c>
      <c r="E163" s="146">
        <f>SUM(E159:E162)</f>
        <v>601476.54115968372</v>
      </c>
      <c r="H163" t="s">
        <v>448</v>
      </c>
      <c r="J163" s="86">
        <f>SUM(J159:J162)</f>
        <v>645478.9</v>
      </c>
    </row>
    <row r="165" spans="1:17" x14ac:dyDescent="0.3">
      <c r="D165" t="s">
        <v>443</v>
      </c>
      <c r="E165">
        <f>E163/E134</f>
        <v>5029.0680698970209</v>
      </c>
      <c r="H165" t="s">
        <v>443</v>
      </c>
      <c r="J165" s="86">
        <f>J159/E134</f>
        <v>5757.635451505017</v>
      </c>
    </row>
    <row r="168" spans="1:17" ht="21" x14ac:dyDescent="0.4">
      <c r="A168" s="35" t="s">
        <v>453</v>
      </c>
      <c r="B168" s="36"/>
      <c r="C168" s="3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</row>
    <row r="170" spans="1:17" ht="15.6" x14ac:dyDescent="0.3">
      <c r="A170" s="157"/>
      <c r="B170" s="157"/>
      <c r="C170" s="157"/>
      <c r="D170" s="158"/>
      <c r="E170" s="158"/>
      <c r="F170" s="158"/>
      <c r="H170" s="150" t="s">
        <v>454</v>
      </c>
      <c r="I170" s="150"/>
      <c r="J170" s="150"/>
      <c r="K170" s="150"/>
      <c r="L170" s="150"/>
      <c r="M170" s="150"/>
      <c r="N170" s="150"/>
    </row>
    <row r="171" spans="1:17" x14ac:dyDescent="0.3">
      <c r="A171" s="157"/>
      <c r="B171" s="157"/>
      <c r="C171" s="157"/>
      <c r="D171" s="158"/>
      <c r="E171" s="158"/>
      <c r="F171" s="158"/>
    </row>
    <row r="172" spans="1:17" x14ac:dyDescent="0.3">
      <c r="A172" s="157"/>
      <c r="B172" s="157"/>
      <c r="C172" s="157"/>
      <c r="D172" s="158"/>
      <c r="E172" s="158"/>
      <c r="F172" s="158"/>
      <c r="J172" s="152" t="s">
        <v>455</v>
      </c>
      <c r="K172" s="151"/>
      <c r="L172" s="151"/>
      <c r="M172" s="151"/>
      <c r="N172" s="151"/>
    </row>
    <row r="173" spans="1:17" x14ac:dyDescent="0.3">
      <c r="A173" s="157"/>
      <c r="B173" s="157"/>
      <c r="C173" s="157"/>
      <c r="D173" s="158"/>
      <c r="E173" s="158"/>
      <c r="F173" s="158"/>
      <c r="I173" s="156">
        <f>E165</f>
        <v>5029.0680698970209</v>
      </c>
      <c r="J173" s="154">
        <v>15</v>
      </c>
      <c r="K173" s="154">
        <v>20</v>
      </c>
      <c r="L173" s="154">
        <v>24.857306665477619</v>
      </c>
      <c r="M173" s="154">
        <v>30</v>
      </c>
      <c r="N173" s="154">
        <v>35</v>
      </c>
    </row>
    <row r="174" spans="1:17" x14ac:dyDescent="0.3">
      <c r="A174" s="157"/>
      <c r="B174" s="157"/>
      <c r="C174" s="157"/>
      <c r="D174" s="158"/>
      <c r="E174" s="158"/>
      <c r="F174" s="158"/>
      <c r="H174" s="180" t="s">
        <v>435</v>
      </c>
      <c r="I174" s="153">
        <v>0.08</v>
      </c>
      <c r="J174">
        <f t="dataTable" ref="J174:N178" dt2D="1" dtr="1" r1="E131" r2="E133" ca="1"/>
        <v>6257.1179704497345</v>
      </c>
      <c r="K174">
        <v>6768.2011614025869</v>
      </c>
      <c r="L174">
        <v>7264.6987194083604</v>
      </c>
      <c r="M174">
        <v>7790.3675433082944</v>
      </c>
      <c r="N174">
        <v>8301.4507342611469</v>
      </c>
    </row>
    <row r="175" spans="1:17" x14ac:dyDescent="0.3">
      <c r="A175" s="157"/>
      <c r="B175" s="157"/>
      <c r="C175" s="157"/>
      <c r="D175" s="158"/>
      <c r="E175" s="158"/>
      <c r="F175" s="158"/>
      <c r="H175" s="180"/>
      <c r="I175" s="153">
        <v>0.09</v>
      </c>
      <c r="J175">
        <v>4827.994618658714</v>
      </c>
      <c r="K175" s="159">
        <v>5320.1562684898654</v>
      </c>
      <c r="L175" s="159">
        <v>5798.2722809333309</v>
      </c>
      <c r="M175" s="159">
        <v>6304.4795681521728</v>
      </c>
      <c r="N175">
        <v>6796.6412179833242</v>
      </c>
    </row>
    <row r="176" spans="1:17" x14ac:dyDescent="0.3">
      <c r="A176" s="157"/>
      <c r="B176" s="157"/>
      <c r="C176" s="157"/>
      <c r="D176" s="158"/>
      <c r="E176" s="158"/>
      <c r="F176" s="158"/>
      <c r="H176" s="180"/>
      <c r="I176" s="153">
        <v>9.9840668529013896E-2</v>
      </c>
      <c r="J176">
        <v>4093.8361215342584</v>
      </c>
      <c r="K176" s="159">
        <v>4568.2212553752006</v>
      </c>
      <c r="L176" s="160">
        <v>5029.0680698970209</v>
      </c>
      <c r="M176" s="159">
        <v>5516.991523057085</v>
      </c>
      <c r="N176">
        <v>5991.3766568980263</v>
      </c>
    </row>
    <row r="177" spans="1:14" x14ac:dyDescent="0.3">
      <c r="A177" s="157"/>
      <c r="B177" s="157"/>
      <c r="C177" s="157"/>
      <c r="D177" s="158"/>
      <c r="E177" s="158"/>
      <c r="F177" s="158"/>
      <c r="H177" s="180"/>
      <c r="I177" s="153">
        <v>0.11</v>
      </c>
      <c r="J177">
        <v>3617.2882492127292</v>
      </c>
      <c r="K177" s="159">
        <v>4074.1515610303195</v>
      </c>
      <c r="L177" s="159">
        <v>4517.9766029710709</v>
      </c>
      <c r="M177" s="159">
        <v>4987.8781846654974</v>
      </c>
      <c r="N177">
        <v>5444.7414964830878</v>
      </c>
    </row>
    <row r="178" spans="1:14" x14ac:dyDescent="0.3">
      <c r="A178" s="157"/>
      <c r="B178" s="157"/>
      <c r="C178" s="157"/>
      <c r="D178" s="158"/>
      <c r="E178" s="158"/>
      <c r="F178" s="158"/>
      <c r="H178" s="180"/>
      <c r="I178" s="153">
        <v>0.12</v>
      </c>
      <c r="J178">
        <v>3289.0092053943899</v>
      </c>
      <c r="K178">
        <v>3729.4051205960586</v>
      </c>
      <c r="L178">
        <v>4157.2327234676941</v>
      </c>
      <c r="M178">
        <v>4610.1969509993951</v>
      </c>
      <c r="N178">
        <v>5050.5928662010638</v>
      </c>
    </row>
    <row r="179" spans="1:14" x14ac:dyDescent="0.3">
      <c r="A179" s="157"/>
      <c r="B179" s="157"/>
      <c r="C179" s="157"/>
      <c r="D179" s="158"/>
      <c r="E179" s="158"/>
      <c r="F179" s="158"/>
    </row>
    <row r="180" spans="1:14" x14ac:dyDescent="0.3">
      <c r="A180" s="157"/>
      <c r="B180" s="157"/>
      <c r="C180" s="157"/>
      <c r="D180" s="158"/>
      <c r="E180" s="158"/>
      <c r="F180" s="158"/>
    </row>
    <row r="181" spans="1:14" x14ac:dyDescent="0.3">
      <c r="A181" s="157"/>
      <c r="B181" s="157"/>
      <c r="C181" s="157"/>
      <c r="D181" s="158"/>
      <c r="E181" s="158"/>
      <c r="F181" s="158"/>
      <c r="J181" s="152" t="s">
        <v>434</v>
      </c>
      <c r="K181" s="151"/>
      <c r="L181" s="151"/>
      <c r="M181" s="151"/>
      <c r="N181" s="151"/>
    </row>
    <row r="182" spans="1:14" x14ac:dyDescent="0.3">
      <c r="A182" s="157"/>
      <c r="B182" s="157"/>
      <c r="C182" s="157"/>
      <c r="D182" s="158"/>
      <c r="E182" s="158"/>
      <c r="F182" s="158"/>
      <c r="I182" s="156">
        <f>E165</f>
        <v>5029.0680698970209</v>
      </c>
      <c r="J182" s="155">
        <v>4.4999999999999998E-2</v>
      </c>
      <c r="K182" s="155">
        <v>0.05</v>
      </c>
      <c r="L182" s="155">
        <v>0.06</v>
      </c>
      <c r="M182" s="155">
        <v>6.5000000000000002E-2</v>
      </c>
      <c r="N182" s="155">
        <v>7.0000000000000007E-2</v>
      </c>
    </row>
    <row r="183" spans="1:14" x14ac:dyDescent="0.3">
      <c r="A183" s="157"/>
      <c r="B183" s="157"/>
      <c r="C183" s="157"/>
      <c r="D183" s="158"/>
      <c r="E183" s="158"/>
      <c r="F183" s="158"/>
      <c r="H183" s="180" t="s">
        <v>435</v>
      </c>
      <c r="I183" s="153">
        <v>0.08</v>
      </c>
      <c r="J183">
        <f t="dataTable" ref="J183:N187" dt2D="1" dtr="1" r1="E132" r2="E133"/>
        <v>5607.0707557177329</v>
      </c>
      <c r="K183">
        <v>5975.4325254267624</v>
      </c>
      <c r="L183">
        <v>7264.6987194083604</v>
      </c>
      <c r="M183">
        <v>8553.9649133899602</v>
      </c>
      <c r="N183">
        <v>11132.49730135316</v>
      </c>
    </row>
    <row r="184" spans="1:14" x14ac:dyDescent="0.3">
      <c r="A184" s="157"/>
      <c r="B184" s="157"/>
      <c r="C184" s="157"/>
      <c r="D184" s="158"/>
      <c r="E184" s="158"/>
      <c r="F184" s="158"/>
      <c r="H184" s="180"/>
      <c r="I184" s="153">
        <v>0.09</v>
      </c>
      <c r="J184">
        <v>4962.9188695519833</v>
      </c>
      <c r="K184" s="159">
        <v>5171.7572223973211</v>
      </c>
      <c r="L184" s="159">
        <v>5798.2722809333309</v>
      </c>
      <c r="M184" s="159">
        <v>6299.4843277621394</v>
      </c>
      <c r="N184">
        <v>7051.3023980053522</v>
      </c>
    </row>
    <row r="185" spans="1:14" x14ac:dyDescent="0.3">
      <c r="A185" s="157"/>
      <c r="B185" s="157"/>
      <c r="C185" s="157"/>
      <c r="D185" s="158"/>
      <c r="E185" s="158"/>
      <c r="F185" s="158"/>
      <c r="H185" s="180"/>
      <c r="I185" s="153">
        <v>9.9840668529013896E-2</v>
      </c>
      <c r="J185">
        <v>4527.0709344272573</v>
      </c>
      <c r="K185" s="159">
        <v>4660.8298510378472</v>
      </c>
      <c r="L185" s="160">
        <v>5029.0680698970209</v>
      </c>
      <c r="M185" s="159">
        <v>5292.4562277704936</v>
      </c>
      <c r="N185">
        <v>5644.1092171162863</v>
      </c>
    </row>
    <row r="186" spans="1:14" x14ac:dyDescent="0.3">
      <c r="A186" s="157"/>
      <c r="B186" s="157"/>
      <c r="C186" s="157"/>
      <c r="D186" s="158"/>
      <c r="E186" s="158"/>
      <c r="F186" s="158"/>
      <c r="H186" s="180"/>
      <c r="I186" s="153">
        <v>0.11</v>
      </c>
      <c r="J186">
        <v>4189.9601312276354</v>
      </c>
      <c r="K186" s="159">
        <v>4281.0758178230344</v>
      </c>
      <c r="L186" s="159">
        <v>4517.9766029710709</v>
      </c>
      <c r="M186" s="159">
        <v>4675.9104597364276</v>
      </c>
      <c r="N186">
        <v>4873.3277806931237</v>
      </c>
    </row>
    <row r="187" spans="1:14" x14ac:dyDescent="0.3">
      <c r="A187" s="157"/>
      <c r="B187" s="157"/>
      <c r="C187" s="157"/>
      <c r="D187" s="158"/>
      <c r="E187" s="158"/>
      <c r="F187" s="158"/>
      <c r="H187" s="180"/>
      <c r="I187" s="153">
        <v>0.12</v>
      </c>
      <c r="J187">
        <v>3926.8135882073138</v>
      </c>
      <c r="K187">
        <v>3992.6476268531364</v>
      </c>
      <c r="L187">
        <v>4157.2327234676941</v>
      </c>
      <c r="M187">
        <v>4261.9686940405945</v>
      </c>
      <c r="N187">
        <v>4387.6518587280743</v>
      </c>
    </row>
    <row r="188" spans="1:14" x14ac:dyDescent="0.3">
      <c r="A188" s="157"/>
      <c r="B188" s="157"/>
      <c r="C188" s="157"/>
      <c r="D188" s="158"/>
      <c r="E188" s="158"/>
      <c r="F188" s="158"/>
      <c r="H188" s="161"/>
    </row>
  </sheetData>
  <mergeCells count="2">
    <mergeCell ref="H174:H178"/>
    <mergeCell ref="H183:H187"/>
  </mergeCell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6DB362-9B7E-454C-AD7C-DA1C97BCB6FB}">
          <x14:formula1>
            <xm:f>Scenarios!$D$5:$D$7</xm:f>
          </x14:formula1>
          <xm:sqref>E6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EC77A-9D8E-479C-930D-E32D64A25BCD}">
  <dimension ref="A1:L20"/>
  <sheetViews>
    <sheetView showGridLines="0" workbookViewId="0">
      <selection activeCell="E8" sqref="E8"/>
    </sheetView>
  </sheetViews>
  <sheetFormatPr defaultColWidth="11.77734375" defaultRowHeight="14.4" outlineLevelRow="1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</cols>
  <sheetData>
    <row r="1" spans="1:12" ht="32.4" x14ac:dyDescent="0.6">
      <c r="A1" s="9" t="s">
        <v>9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</row>
    <row r="2" spans="1:12" ht="23.4" x14ac:dyDescent="0.45">
      <c r="A2" s="38" t="s">
        <v>276</v>
      </c>
      <c r="B2" s="8"/>
      <c r="C2" s="6"/>
      <c r="D2" s="7"/>
      <c r="E2" s="7"/>
      <c r="F2" s="7"/>
      <c r="G2" s="7"/>
      <c r="H2" s="7"/>
      <c r="I2" s="7"/>
      <c r="J2" s="7"/>
      <c r="K2" s="7"/>
      <c r="L2" s="7"/>
    </row>
    <row r="4" spans="1:12" x14ac:dyDescent="0.3">
      <c r="C4" s="34" t="s">
        <v>276</v>
      </c>
      <c r="E4" s="4" t="s">
        <v>281</v>
      </c>
      <c r="H4">
        <v>2026</v>
      </c>
      <c r="I4">
        <f>H4+1</f>
        <v>2027</v>
      </c>
      <c r="J4">
        <f>I4+1</f>
        <v>2028</v>
      </c>
      <c r="K4">
        <f>J4+1</f>
        <v>2029</v>
      </c>
      <c r="L4">
        <f>K4+1</f>
        <v>2030</v>
      </c>
    </row>
    <row r="5" spans="1:12" x14ac:dyDescent="0.3">
      <c r="D5" t="s">
        <v>277</v>
      </c>
      <c r="E5" s="68">
        <f>Historicals!L166</f>
        <v>0.1</v>
      </c>
      <c r="H5" s="53" cm="1">
        <f t="array" ref="H5:H7">E5:E7</f>
        <v>0.1</v>
      </c>
      <c r="I5" s="53">
        <f>H5*(1-$E$8)</f>
        <v>8.900000000000001E-2</v>
      </c>
      <c r="J5" s="53">
        <f>I5*(1-$E$8)</f>
        <v>7.9210000000000017E-2</v>
      </c>
      <c r="K5" s="53">
        <f>J5*(1-$E$8)</f>
        <v>7.0496900000000015E-2</v>
      </c>
      <c r="L5" s="53">
        <f>K5*(1-$E$8)</f>
        <v>6.2742241000000018E-2</v>
      </c>
    </row>
    <row r="6" spans="1:12" x14ac:dyDescent="0.3">
      <c r="D6" t="s">
        <v>278</v>
      </c>
      <c r="E6" s="68">
        <f>MAX(Model!I7:L7)</f>
        <v>0.19956886681458891</v>
      </c>
      <c r="H6" s="53">
        <v>0.19956886681458891</v>
      </c>
      <c r="I6" s="53">
        <f t="shared" ref="I6:L7" si="0">H6*(1-$E$8)</f>
        <v>0.17761629146498414</v>
      </c>
      <c r="J6" s="53">
        <f t="shared" si="0"/>
        <v>0.15807849940383589</v>
      </c>
      <c r="K6" s="53">
        <f t="shared" si="0"/>
        <v>0.14068986446941395</v>
      </c>
      <c r="L6" s="53">
        <f t="shared" si="0"/>
        <v>0.12521397937777842</v>
      </c>
    </row>
    <row r="7" spans="1:12" x14ac:dyDescent="0.3">
      <c r="D7" t="s">
        <v>279</v>
      </c>
      <c r="E7" s="68">
        <v>7.3999999999999996E-2</v>
      </c>
      <c r="H7" s="53">
        <v>7.3999999999999996E-2</v>
      </c>
      <c r="I7" s="53">
        <f t="shared" si="0"/>
        <v>6.5860000000000002E-2</v>
      </c>
      <c r="J7" s="53">
        <f t="shared" si="0"/>
        <v>5.8615400000000005E-2</v>
      </c>
      <c r="K7" s="53">
        <f t="shared" si="0"/>
        <v>5.2167706000000008E-2</v>
      </c>
      <c r="L7" s="53">
        <f t="shared" si="0"/>
        <v>4.6429258340000008E-2</v>
      </c>
    </row>
    <row r="8" spans="1:12" x14ac:dyDescent="0.3">
      <c r="D8" t="s">
        <v>280</v>
      </c>
      <c r="E8" s="68">
        <v>0.11</v>
      </c>
    </row>
    <row r="16" spans="1:12" hidden="1" outlineLevel="1" x14ac:dyDescent="0.3">
      <c r="D16" t="s">
        <v>284</v>
      </c>
    </row>
    <row r="17" spans="4:4" hidden="1" outlineLevel="1" x14ac:dyDescent="0.3">
      <c r="D17" t="s">
        <v>285</v>
      </c>
    </row>
    <row r="18" spans="4:4" hidden="1" outlineLevel="1" x14ac:dyDescent="0.3">
      <c r="D18" t="s">
        <v>286</v>
      </c>
    </row>
    <row r="19" spans="4:4" hidden="1" outlineLevel="1" x14ac:dyDescent="0.3">
      <c r="D19" t="s">
        <v>288</v>
      </c>
    </row>
    <row r="20" spans="4:4" collapsed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0CD2-82BE-49AE-84C7-F93ACE119EBD}">
  <dimension ref="A1:P32"/>
  <sheetViews>
    <sheetView showGridLines="0" zoomScale="71" workbookViewId="0">
      <selection activeCell="J18" sqref="J18"/>
    </sheetView>
  </sheetViews>
  <sheetFormatPr defaultRowHeight="14.4" outlineLevelRow="1" x14ac:dyDescent="0.3"/>
  <cols>
    <col min="1" max="1" width="9" bestFit="1" customWidth="1"/>
    <col min="2" max="2" width="16.33203125" bestFit="1" customWidth="1"/>
    <col min="3" max="3" width="13.77734375" customWidth="1"/>
    <col min="4" max="4" width="14.77734375" bestFit="1" customWidth="1"/>
    <col min="5" max="5" width="9" bestFit="1" customWidth="1"/>
    <col min="6" max="6" width="13.5546875" customWidth="1"/>
    <col min="7" max="7" width="13.5546875" style="86" customWidth="1"/>
    <col min="8" max="13" width="13.5546875" customWidth="1"/>
  </cols>
  <sheetData>
    <row r="1" spans="1:16" ht="31.8" customHeight="1" x14ac:dyDescent="0.3">
      <c r="A1" s="175" t="s">
        <v>305</v>
      </c>
      <c r="B1" s="176" t="s">
        <v>306</v>
      </c>
      <c r="C1" s="177" t="s">
        <v>325</v>
      </c>
      <c r="D1" s="177" t="s">
        <v>303</v>
      </c>
      <c r="E1" s="177" t="s">
        <v>307</v>
      </c>
      <c r="F1" s="177" t="s">
        <v>326</v>
      </c>
      <c r="G1" s="178" t="s">
        <v>327</v>
      </c>
      <c r="H1" s="177" t="s">
        <v>328</v>
      </c>
      <c r="I1" s="177" t="s">
        <v>329</v>
      </c>
      <c r="J1" s="177" t="s">
        <v>330</v>
      </c>
      <c r="K1" s="177" t="s">
        <v>331</v>
      </c>
      <c r="L1" s="177" t="s">
        <v>332</v>
      </c>
      <c r="M1" s="177" t="s">
        <v>333</v>
      </c>
      <c r="N1" s="177" t="s">
        <v>342</v>
      </c>
      <c r="O1" s="177" t="s">
        <v>343</v>
      </c>
      <c r="P1" s="177" t="s">
        <v>344</v>
      </c>
    </row>
    <row r="2" spans="1:16" x14ac:dyDescent="0.3">
      <c r="A2" s="164">
        <v>1</v>
      </c>
      <c r="B2" s="165" t="s">
        <v>308</v>
      </c>
      <c r="C2" s="166">
        <v>1785.7</v>
      </c>
      <c r="D2" s="166">
        <v>35.31</v>
      </c>
      <c r="E2" s="166">
        <v>21.48</v>
      </c>
      <c r="F2" s="167">
        <v>4285464.2</v>
      </c>
      <c r="G2" s="168">
        <v>2399.3000000000002</v>
      </c>
      <c r="H2" s="167">
        <v>52151</v>
      </c>
      <c r="I2" s="167">
        <v>122574.2</v>
      </c>
      <c r="J2" s="167">
        <v>4215041</v>
      </c>
      <c r="K2" s="167">
        <v>568090.89999999991</v>
      </c>
      <c r="L2" s="167">
        <v>172531.30000000002</v>
      </c>
      <c r="M2" s="167">
        <v>121373.09999999999</v>
      </c>
      <c r="N2" s="169">
        <v>38204.5</v>
      </c>
      <c r="O2" s="170">
        <v>0.09</v>
      </c>
      <c r="P2" s="171">
        <f>N2/(M2+N2)</f>
        <v>0.23941016784310584</v>
      </c>
    </row>
    <row r="3" spans="1:16" x14ac:dyDescent="0.3">
      <c r="A3" s="172">
        <v>2</v>
      </c>
      <c r="B3" s="173" t="s">
        <v>309</v>
      </c>
      <c r="C3" s="174">
        <v>6474</v>
      </c>
      <c r="D3" s="174">
        <v>67.819999999999993</v>
      </c>
      <c r="E3" s="174">
        <v>44.02</v>
      </c>
      <c r="F3" s="167">
        <v>1717945.2</v>
      </c>
      <c r="G3" s="168">
        <v>265.5</v>
      </c>
      <c r="H3" s="167">
        <v>900</v>
      </c>
      <c r="I3" s="167">
        <v>32610</v>
      </c>
      <c r="J3" s="167">
        <v>1686235.2</v>
      </c>
      <c r="K3" s="167">
        <v>103140</v>
      </c>
      <c r="L3" s="167">
        <v>33200</v>
      </c>
      <c r="M3" s="167">
        <v>25332.7</v>
      </c>
      <c r="N3" s="169">
        <v>8100</v>
      </c>
      <c r="O3" s="170">
        <v>0.09</v>
      </c>
      <c r="P3" s="171">
        <f t="shared" ref="P3:P9" si="0">N3/(M3+N3)</f>
        <v>0.24227776996772624</v>
      </c>
    </row>
    <row r="4" spans="1:16" x14ac:dyDescent="0.3">
      <c r="A4" s="164">
        <v>3</v>
      </c>
      <c r="B4" s="165" t="s">
        <v>310</v>
      </c>
      <c r="C4" s="166">
        <v>4399.8</v>
      </c>
      <c r="D4" s="166">
        <v>64.569999999999993</v>
      </c>
      <c r="E4" s="166">
        <v>37.08</v>
      </c>
      <c r="F4" s="167">
        <v>1488789.1</v>
      </c>
      <c r="G4" s="168">
        <v>338.40000000000003</v>
      </c>
      <c r="H4" s="167">
        <v>28220</v>
      </c>
      <c r="I4" s="167">
        <v>7050</v>
      </c>
      <c r="J4" s="167">
        <v>1509959.1</v>
      </c>
      <c r="K4" s="167">
        <v>127420</v>
      </c>
      <c r="L4" s="167">
        <v>37261.9</v>
      </c>
      <c r="M4" s="167">
        <v>23055.300000000003</v>
      </c>
      <c r="N4" s="169">
        <v>7360</v>
      </c>
      <c r="O4" s="170">
        <v>0.13</v>
      </c>
      <c r="P4" s="171">
        <f t="shared" si="0"/>
        <v>0.24198347542190934</v>
      </c>
    </row>
    <row r="5" spans="1:16" x14ac:dyDescent="0.3">
      <c r="A5" s="172">
        <v>4</v>
      </c>
      <c r="B5" s="173" t="s">
        <v>311</v>
      </c>
      <c r="C5" s="174">
        <v>1319.3</v>
      </c>
      <c r="D5" s="174">
        <v>19.77</v>
      </c>
      <c r="E5" s="174">
        <v>12.01</v>
      </c>
      <c r="F5" s="167">
        <v>1101060.3</v>
      </c>
      <c r="G5" s="168">
        <v>834.09999999999991</v>
      </c>
      <c r="H5" s="167">
        <v>58540</v>
      </c>
      <c r="I5" s="167">
        <v>20464</v>
      </c>
      <c r="J5" s="167">
        <v>1139136.3</v>
      </c>
      <c r="K5" s="167">
        <v>346822</v>
      </c>
      <c r="L5" s="167">
        <v>95149</v>
      </c>
      <c r="M5" s="167">
        <v>55684</v>
      </c>
      <c r="N5" s="169">
        <v>14761.7</v>
      </c>
      <c r="O5" s="170">
        <v>0.28999999999999998</v>
      </c>
      <c r="P5" s="171">
        <f t="shared" si="0"/>
        <v>0.20954721154023598</v>
      </c>
    </row>
    <row r="6" spans="1:16" x14ac:dyDescent="0.3">
      <c r="A6" s="164">
        <v>5</v>
      </c>
      <c r="B6" s="165" t="s">
        <v>312</v>
      </c>
      <c r="C6" s="166">
        <v>1358.1</v>
      </c>
      <c r="D6" s="166">
        <v>23.08</v>
      </c>
      <c r="E6" s="166">
        <v>14.61</v>
      </c>
      <c r="F6" s="167">
        <v>1097373.1000000001</v>
      </c>
      <c r="G6" s="168">
        <v>807.4</v>
      </c>
      <c r="H6" s="167">
        <v>4673.7</v>
      </c>
      <c r="I6" s="167">
        <v>7958.5</v>
      </c>
      <c r="J6" s="167">
        <v>1094088.3</v>
      </c>
      <c r="K6" s="167">
        <v>283510.80000000005</v>
      </c>
      <c r="L6" s="167">
        <v>78205.600000000006</v>
      </c>
      <c r="M6" s="167">
        <v>47548.2</v>
      </c>
      <c r="N6" s="169">
        <v>16752</v>
      </c>
      <c r="O6" s="170">
        <v>-0.05</v>
      </c>
      <c r="P6" s="171">
        <f t="shared" si="0"/>
        <v>0.26052796103278064</v>
      </c>
    </row>
    <row r="7" spans="1:16" x14ac:dyDescent="0.3">
      <c r="A7" s="172">
        <v>6</v>
      </c>
      <c r="B7" s="173" t="s">
        <v>313</v>
      </c>
      <c r="C7" s="174">
        <v>2323.1999999999998</v>
      </c>
      <c r="D7" s="174">
        <v>21.34</v>
      </c>
      <c r="E7" s="174">
        <v>13.68</v>
      </c>
      <c r="F7" s="167">
        <v>1061687</v>
      </c>
      <c r="G7" s="168">
        <v>455.7</v>
      </c>
      <c r="H7" s="167">
        <v>62170</v>
      </c>
      <c r="I7" s="167">
        <v>30402.199999999997</v>
      </c>
      <c r="J7" s="167">
        <v>1093454.8</v>
      </c>
      <c r="K7" s="167">
        <v>261505</v>
      </c>
      <c r="L7" s="167">
        <v>54336.4</v>
      </c>
      <c r="M7" s="167">
        <v>49744.799999999996</v>
      </c>
      <c r="N7" s="169">
        <v>11712.1</v>
      </c>
      <c r="O7" s="170">
        <v>0.3</v>
      </c>
      <c r="P7" s="171">
        <f t="shared" si="0"/>
        <v>0.190574207289987</v>
      </c>
    </row>
    <row r="8" spans="1:16" x14ac:dyDescent="0.3">
      <c r="A8" s="164">
        <v>7</v>
      </c>
      <c r="B8" s="165" t="s">
        <v>314</v>
      </c>
      <c r="C8" s="166">
        <v>938.5</v>
      </c>
      <c r="D8" s="166">
        <v>18.489999999999998</v>
      </c>
      <c r="E8" s="166">
        <v>11.92</v>
      </c>
      <c r="F8" s="167">
        <v>944607.4</v>
      </c>
      <c r="G8" s="168">
        <v>1006.2</v>
      </c>
      <c r="H8" s="167">
        <v>96361</v>
      </c>
      <c r="I8" s="167">
        <v>27825</v>
      </c>
      <c r="J8" s="167">
        <v>1013143.3999999999</v>
      </c>
      <c r="K8" s="167">
        <v>260893</v>
      </c>
      <c r="L8" s="167">
        <v>72935</v>
      </c>
      <c r="M8" s="167">
        <v>51081.899999999994</v>
      </c>
      <c r="N8" s="169">
        <v>3812.7</v>
      </c>
      <c r="O8" s="170">
        <v>0.37</v>
      </c>
      <c r="P8" s="171">
        <f t="shared" si="0"/>
        <v>6.9454919063077256E-2</v>
      </c>
    </row>
    <row r="9" spans="1:16" x14ac:dyDescent="0.3">
      <c r="A9" s="162">
        <v>8</v>
      </c>
      <c r="B9" s="173" t="s">
        <v>315</v>
      </c>
      <c r="C9" s="163">
        <v>5752</v>
      </c>
      <c r="D9" s="163">
        <v>28.69</v>
      </c>
      <c r="E9" s="163">
        <v>20.440000000000001</v>
      </c>
      <c r="F9" s="167">
        <v>688613.20000000007</v>
      </c>
      <c r="G9" s="168">
        <v>119.60000000000001</v>
      </c>
      <c r="H9" s="167">
        <v>23556</v>
      </c>
      <c r="I9" s="167">
        <v>15476.5</v>
      </c>
      <c r="J9" s="167">
        <v>696692.70000000007</v>
      </c>
      <c r="K9" s="167">
        <v>142527</v>
      </c>
      <c r="L9" s="167">
        <v>30012.9</v>
      </c>
      <c r="M9" s="167">
        <v>24004.6</v>
      </c>
      <c r="N9" s="169">
        <v>4199.2</v>
      </c>
      <c r="O9" s="170">
        <v>0.3</v>
      </c>
      <c r="P9" s="171">
        <f t="shared" si="0"/>
        <v>0.14888773853168721</v>
      </c>
    </row>
    <row r="10" spans="1:16" x14ac:dyDescent="0.3">
      <c r="M10" s="85"/>
      <c r="N10" s="85"/>
    </row>
    <row r="13" spans="1:16" x14ac:dyDescent="0.3">
      <c r="N13" s="76"/>
      <c r="O13" s="76"/>
    </row>
    <row r="14" spans="1:16" outlineLevel="1" x14ac:dyDescent="0.3">
      <c r="B14" s="135"/>
      <c r="C14" s="136" t="s">
        <v>343</v>
      </c>
      <c r="D14" s="137" t="s">
        <v>385</v>
      </c>
      <c r="M14" s="80"/>
      <c r="N14" s="81"/>
      <c r="O14" s="82"/>
    </row>
    <row r="15" spans="1:16" ht="14.4" customHeight="1" outlineLevel="1" x14ac:dyDescent="0.3">
      <c r="B15" s="117" t="s">
        <v>384</v>
      </c>
      <c r="C15" s="13">
        <v>0.73014229396393204</v>
      </c>
      <c r="D15" s="118">
        <v>0.61485666860120602</v>
      </c>
      <c r="F15" s="181" t="s">
        <v>386</v>
      </c>
      <c r="G15" s="182"/>
      <c r="M15" s="77"/>
      <c r="N15" s="78"/>
      <c r="O15" s="79"/>
    </row>
    <row r="16" spans="1:16" outlineLevel="1" x14ac:dyDescent="0.3">
      <c r="B16" s="117" t="s">
        <v>383</v>
      </c>
      <c r="C16" s="13">
        <v>0.28589584668876999</v>
      </c>
      <c r="D16" s="118">
        <v>0.240754397211596</v>
      </c>
      <c r="F16" s="183"/>
      <c r="G16" s="184"/>
      <c r="M16" s="80"/>
      <c r="N16" s="81"/>
      <c r="O16" s="82"/>
    </row>
    <row r="17" spans="2:15" outlineLevel="1" x14ac:dyDescent="0.3">
      <c r="B17" s="117" t="s">
        <v>382</v>
      </c>
      <c r="C17" s="13">
        <v>0.46513529154233901</v>
      </c>
      <c r="D17" s="118">
        <v>0.39169287708828598</v>
      </c>
      <c r="F17" s="183"/>
      <c r="G17" s="184"/>
      <c r="M17" s="77"/>
      <c r="N17" s="78"/>
      <c r="O17" s="79"/>
    </row>
    <row r="18" spans="2:15" outlineLevel="1" x14ac:dyDescent="0.3">
      <c r="B18" s="117" t="s">
        <v>381</v>
      </c>
      <c r="C18" s="13">
        <v>0.71006129677979701</v>
      </c>
      <c r="D18" s="118">
        <v>0.597946355182987</v>
      </c>
      <c r="F18" s="183"/>
      <c r="G18" s="184"/>
      <c r="M18" s="80"/>
      <c r="N18" s="81"/>
      <c r="O18" s="82"/>
    </row>
    <row r="19" spans="2:15" outlineLevel="1" x14ac:dyDescent="0.3">
      <c r="B19" s="117" t="s">
        <v>380</v>
      </c>
      <c r="C19" s="13">
        <v>0.57148874166166097</v>
      </c>
      <c r="D19" s="118">
        <v>0.48125367718876699</v>
      </c>
      <c r="F19" s="185"/>
      <c r="G19" s="186"/>
      <c r="M19" s="77"/>
      <c r="N19" s="78"/>
      <c r="O19" s="79"/>
    </row>
    <row r="20" spans="2:15" outlineLevel="1" x14ac:dyDescent="0.3">
      <c r="B20" s="117" t="s">
        <v>379</v>
      </c>
      <c r="C20" s="13">
        <v>0.51245305561259602</v>
      </c>
      <c r="D20" s="118">
        <v>0.431539415252713</v>
      </c>
      <c r="M20" s="83"/>
      <c r="N20" s="81"/>
      <c r="O20" s="85"/>
    </row>
    <row r="21" spans="2:15" outlineLevel="1" x14ac:dyDescent="0.3">
      <c r="B21" s="117" t="s">
        <v>378</v>
      </c>
      <c r="C21" s="13">
        <v>0.47110769690200899</v>
      </c>
      <c r="D21" s="118">
        <v>0.396722271075376</v>
      </c>
      <c r="M21" s="87"/>
      <c r="N21" s="84"/>
      <c r="O21" s="85"/>
    </row>
    <row r="22" spans="2:15" outlineLevel="1" x14ac:dyDescent="0.3">
      <c r="B22" s="117" t="s">
        <v>377</v>
      </c>
      <c r="C22" s="13">
        <v>0.94568223391186401</v>
      </c>
      <c r="D22" s="118">
        <v>0.79636398645209605</v>
      </c>
    </row>
    <row r="23" spans="2:15" outlineLevel="1" x14ac:dyDescent="0.3">
      <c r="B23" s="117" t="s">
        <v>376</v>
      </c>
      <c r="C23" s="13">
        <v>0.49695289044822799</v>
      </c>
      <c r="D23" s="118">
        <v>0.41848664458798102</v>
      </c>
    </row>
    <row r="24" spans="2:15" outlineLevel="1" x14ac:dyDescent="0.3">
      <c r="B24" s="117" t="s">
        <v>375</v>
      </c>
      <c r="C24" s="13">
        <v>0.73299902015332696</v>
      </c>
      <c r="D24" s="118">
        <v>0.61726233276069697</v>
      </c>
    </row>
    <row r="25" spans="2:15" outlineLevel="1" x14ac:dyDescent="0.3">
      <c r="B25" s="117" t="s">
        <v>374</v>
      </c>
      <c r="C25" s="13">
        <v>1.1667610954804399</v>
      </c>
      <c r="D25" s="118">
        <v>0.98253565935194898</v>
      </c>
    </row>
    <row r="26" spans="2:15" outlineLevel="1" x14ac:dyDescent="0.3">
      <c r="B26" s="117" t="s">
        <v>373</v>
      </c>
      <c r="C26" s="13">
        <v>0.38094755722669499</v>
      </c>
      <c r="D26" s="118">
        <v>0.320797942927743</v>
      </c>
    </row>
    <row r="27" spans="2:15" outlineLevel="1" x14ac:dyDescent="0.3">
      <c r="B27" s="117" t="s">
        <v>372</v>
      </c>
      <c r="C27" s="13">
        <v>1.44980651077727</v>
      </c>
      <c r="D27" s="118">
        <v>1.22088969328612</v>
      </c>
    </row>
    <row r="28" spans="2:15" outlineLevel="1" x14ac:dyDescent="0.3">
      <c r="B28" s="117" t="s">
        <v>371</v>
      </c>
      <c r="C28" s="13">
        <v>0.21881237311164101</v>
      </c>
      <c r="D28" s="118">
        <v>0.18426305104138099</v>
      </c>
    </row>
    <row r="29" spans="2:15" outlineLevel="1" x14ac:dyDescent="0.3">
      <c r="B29" s="117" t="s">
        <v>370</v>
      </c>
      <c r="C29" s="13">
        <v>0.64538034714902703</v>
      </c>
      <c r="D29" s="118">
        <v>0.54347818707286499</v>
      </c>
    </row>
    <row r="30" spans="2:15" outlineLevel="1" x14ac:dyDescent="0.3">
      <c r="B30" s="117"/>
      <c r="D30" s="119"/>
    </row>
    <row r="31" spans="2:15" outlineLevel="1" x14ac:dyDescent="0.3">
      <c r="B31" s="120" t="s">
        <v>317</v>
      </c>
      <c r="C31" s="66">
        <f>AVERAGE(C15:C29)</f>
        <v>0.65224175009397301</v>
      </c>
      <c r="D31" s="121">
        <f>AVERAGE(D15:D29)</f>
        <v>0.54925621060545082</v>
      </c>
    </row>
    <row r="32" spans="2:15" outlineLevel="1" x14ac:dyDescent="0.3">
      <c r="B32" s="122" t="s">
        <v>318</v>
      </c>
      <c r="C32" s="123">
        <f>MEDIAN(C15:C29)</f>
        <v>0.57148874166166097</v>
      </c>
      <c r="D32" s="124">
        <f>MEDIAN(D15:D29)</f>
        <v>0.48125367718876699</v>
      </c>
    </row>
  </sheetData>
  <mergeCells count="1">
    <mergeCell ref="F15:G19"/>
  </mergeCells>
  <hyperlinks>
    <hyperlink ref="B9" r:id="rId1" display="https://www.screener.in/company/ALKEM/consolidated/" xr:uid="{0E464E68-4180-4F99-86FC-AC4C0704FA9E}"/>
    <hyperlink ref="B8" r:id="rId2" display="https://www.screener.in/company/ZYDUSLIFE/consolidated/" xr:uid="{23F41A8A-6182-4B9A-886E-0EFBF03CE51F}"/>
    <hyperlink ref="B7" r:id="rId3" display="https://www.screener.in/company/LUPIN/consolidated/" xr:uid="{500C1AC2-F470-432B-8977-1CF3DF0973D8}"/>
    <hyperlink ref="B6" r:id="rId4" display="https://www.screener.in/company/CIPLA/consolidated/" xr:uid="{5FAFDC63-4508-4AB6-BB39-BADA34E395F1}"/>
    <hyperlink ref="B5" r:id="rId5" display="https://www.screener.in/company/DRREDDY/consolidated/" xr:uid="{0D600D9C-C1D5-4B14-B7BB-DB36BBBFE4EC}"/>
    <hyperlink ref="B4" r:id="rId6" display="https://www.screener.in/company/TORNTPHARM/consolidated/" xr:uid="{B4063465-C42F-490A-8CDD-56C3F9A3132A}"/>
    <hyperlink ref="B3" r:id="rId7" display="https://www.screener.in/company/DIVISLAB/consolidated/" xr:uid="{121E06E5-7C85-4BB4-80FD-05E78ABAEF91}"/>
    <hyperlink ref="B2" r:id="rId8" display="https://www.screener.in/company/SUNPHARMA/consolidated/" xr:uid="{E59AAF7B-EE6B-48A3-9918-D8AB594CAD1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EFAB6-4571-48DF-90A7-828DCC92BAB3}">
  <dimension ref="A1:U26"/>
  <sheetViews>
    <sheetView showGridLines="0" topLeftCell="R1" workbookViewId="0">
      <selection activeCell="T18" sqref="T18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  <col min="10" max="10" width="12.88671875" bestFit="1" customWidth="1"/>
    <col min="13" max="13" width="12.88671875" bestFit="1" customWidth="1"/>
    <col min="19" max="19" width="11.77734375" customWidth="1"/>
    <col min="20" max="20" width="10.21875" bestFit="1" customWidth="1"/>
    <col min="21" max="21" width="11.77734375" customWidth="1"/>
  </cols>
  <sheetData>
    <row r="1" spans="1:21" ht="32.4" x14ac:dyDescent="0.6">
      <c r="A1" s="9" t="s">
        <v>9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5"/>
      <c r="N1" s="5"/>
      <c r="O1" s="5"/>
      <c r="P1" s="5"/>
      <c r="Q1" s="5"/>
      <c r="R1" s="5"/>
      <c r="S1" s="5"/>
      <c r="T1" s="5"/>
      <c r="U1" s="5"/>
    </row>
    <row r="2" spans="1:21" ht="23.4" x14ac:dyDescent="0.45">
      <c r="A2" s="38" t="s">
        <v>289</v>
      </c>
      <c r="B2" s="8"/>
      <c r="C2" s="6"/>
      <c r="D2" s="7"/>
      <c r="E2" s="7"/>
      <c r="F2" s="7"/>
      <c r="G2" s="7"/>
      <c r="H2" s="7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</row>
    <row r="5" spans="1:21" x14ac:dyDescent="0.3">
      <c r="D5" s="30"/>
      <c r="E5" s="30"/>
      <c r="F5" s="30"/>
      <c r="G5" s="30"/>
      <c r="H5" s="31" t="s">
        <v>298</v>
      </c>
      <c r="I5" s="31"/>
      <c r="J5" s="31"/>
      <c r="K5" s="31"/>
      <c r="L5" s="31"/>
      <c r="M5" s="74"/>
      <c r="N5" s="5"/>
      <c r="O5" s="31" t="s">
        <v>299</v>
      </c>
      <c r="P5" s="31"/>
      <c r="Q5" s="31"/>
      <c r="R5" s="5"/>
      <c r="S5" s="31" t="s">
        <v>300</v>
      </c>
      <c r="T5" s="31"/>
      <c r="U5" s="31"/>
    </row>
    <row r="6" spans="1:21" x14ac:dyDescent="0.3">
      <c r="D6" s="30"/>
      <c r="E6" s="30"/>
      <c r="F6" s="30"/>
      <c r="G6" s="30"/>
      <c r="H6" s="30" t="s">
        <v>291</v>
      </c>
      <c r="I6" s="30" t="s">
        <v>316</v>
      </c>
      <c r="J6" s="30" t="s">
        <v>292</v>
      </c>
      <c r="K6" s="30" t="s">
        <v>208</v>
      </c>
      <c r="L6" s="30" t="s">
        <v>192</v>
      </c>
      <c r="M6" s="30" t="s">
        <v>293</v>
      </c>
      <c r="N6" s="5"/>
      <c r="O6" s="30" t="s">
        <v>294</v>
      </c>
      <c r="P6" s="30" t="s">
        <v>183</v>
      </c>
      <c r="Q6" s="30" t="s">
        <v>295</v>
      </c>
      <c r="R6" s="30"/>
      <c r="S6" s="30" t="s">
        <v>301</v>
      </c>
      <c r="T6" s="30" t="s">
        <v>302</v>
      </c>
      <c r="U6" s="30" t="s">
        <v>303</v>
      </c>
    </row>
    <row r="7" spans="1:21" x14ac:dyDescent="0.3">
      <c r="D7" s="30" t="s">
        <v>290</v>
      </c>
      <c r="E7" s="30"/>
      <c r="F7" s="30"/>
      <c r="G7" s="30"/>
      <c r="H7" s="30" t="s">
        <v>296</v>
      </c>
      <c r="I7" s="30" t="s">
        <v>297</v>
      </c>
      <c r="J7" s="75" t="s">
        <v>189</v>
      </c>
      <c r="K7" s="75" t="s">
        <v>189</v>
      </c>
      <c r="L7" s="75" t="s">
        <v>189</v>
      </c>
      <c r="M7" s="75" t="s">
        <v>189</v>
      </c>
      <c r="N7" s="5"/>
      <c r="O7" s="75" t="s">
        <v>189</v>
      </c>
      <c r="P7" s="75" t="s">
        <v>189</v>
      </c>
      <c r="Q7" s="75" t="s">
        <v>189</v>
      </c>
      <c r="R7" s="75"/>
      <c r="S7" s="75" t="s">
        <v>304</v>
      </c>
      <c r="T7" s="75" t="s">
        <v>304</v>
      </c>
      <c r="U7" s="75" t="s">
        <v>304</v>
      </c>
    </row>
    <row r="8" spans="1:21" x14ac:dyDescent="0.3">
      <c r="D8" t="str" cm="1">
        <f t="array" ref="D8:D15">Comps_Data!B2:B9</f>
        <v>Sun Pharma.Inds.</v>
      </c>
      <c r="H8" s="88" cm="1">
        <f t="array" ref="H8:H15">Comps_Data!C2:C9</f>
        <v>1785.7</v>
      </c>
      <c r="I8" s="89" cm="1">
        <f t="array" ref="I8:I15">Comps_Data!G2:G9</f>
        <v>2399.3000000000002</v>
      </c>
      <c r="J8" s="86">
        <f>H8*I8</f>
        <v>4284430.0100000007</v>
      </c>
      <c r="K8" s="88" cm="1">
        <f t="array" ref="K8:K15">Comps_Data!H2:H9</f>
        <v>52151</v>
      </c>
      <c r="L8" s="88" cm="1">
        <f t="array" ref="L8:L15">Comps_Data!I2:I9</f>
        <v>122574.2</v>
      </c>
      <c r="M8" s="86">
        <f>J8+K8-L8</f>
        <v>4214006.8100000005</v>
      </c>
      <c r="O8" s="88" cm="1">
        <f t="array" ref="O8:O15">Comps_Data!K2:K9</f>
        <v>568090.89999999991</v>
      </c>
      <c r="P8" s="88" cm="1">
        <f t="array" ref="P8:P15">Comps_Data!L2:L9</f>
        <v>172531.30000000002</v>
      </c>
      <c r="Q8" s="88" cm="1">
        <f t="array" ref="Q8:Q15">Comps_Data!M2:M9</f>
        <v>121373.09999999999</v>
      </c>
      <c r="S8" s="13">
        <f>M8/O8</f>
        <v>7.4178389585187885</v>
      </c>
      <c r="T8" s="13">
        <f>M8/P8</f>
        <v>24.424593160777203</v>
      </c>
      <c r="U8" s="13">
        <f>J8/Q8</f>
        <v>35.299666977279159</v>
      </c>
    </row>
    <row r="9" spans="1:21" x14ac:dyDescent="0.3">
      <c r="D9" t="str">
        <v>Divi's Lab.</v>
      </c>
      <c r="H9" s="88">
        <v>6474</v>
      </c>
      <c r="I9" s="89">
        <v>265.5</v>
      </c>
      <c r="J9" s="86">
        <f t="shared" ref="J9:J15" si="0">H9*I9</f>
        <v>1718847</v>
      </c>
      <c r="K9" s="88">
        <v>900</v>
      </c>
      <c r="L9" s="88">
        <v>32610</v>
      </c>
      <c r="M9" s="86">
        <f t="shared" ref="M9:M15" si="1">J9+K9-L9</f>
        <v>1687137</v>
      </c>
      <c r="O9" s="88">
        <v>103140</v>
      </c>
      <c r="P9" s="88">
        <v>33200</v>
      </c>
      <c r="Q9" s="88">
        <v>25332.7</v>
      </c>
      <c r="S9" s="13">
        <f t="shared" ref="S9:S15" si="2">M9/O9</f>
        <v>16.357737056428157</v>
      </c>
      <c r="T9" s="13">
        <f t="shared" ref="T9:T15" si="3">M9/P9</f>
        <v>50.817379518072286</v>
      </c>
      <c r="U9" s="13">
        <f t="shared" ref="U9:U15" si="4">J9/Q9</f>
        <v>67.850919957209456</v>
      </c>
    </row>
    <row r="10" spans="1:21" x14ac:dyDescent="0.3">
      <c r="D10" t="str">
        <v>Torrent Pharma.</v>
      </c>
      <c r="H10" s="88">
        <v>4399.8</v>
      </c>
      <c r="I10" s="89">
        <v>338.40000000000003</v>
      </c>
      <c r="J10" s="86">
        <f t="shared" si="0"/>
        <v>1488892.3200000003</v>
      </c>
      <c r="K10" s="88">
        <v>28220</v>
      </c>
      <c r="L10" s="88">
        <v>7050</v>
      </c>
      <c r="M10" s="86">
        <f t="shared" si="1"/>
        <v>1510062.3200000003</v>
      </c>
      <c r="O10" s="88">
        <v>127420</v>
      </c>
      <c r="P10" s="88">
        <v>37261.9</v>
      </c>
      <c r="Q10" s="88">
        <v>23055.300000000003</v>
      </c>
      <c r="S10" s="13">
        <f t="shared" si="2"/>
        <v>11.851061999686079</v>
      </c>
      <c r="T10" s="13">
        <f t="shared" si="3"/>
        <v>40.525639325960306</v>
      </c>
      <c r="U10" s="13">
        <f t="shared" si="4"/>
        <v>64.57917788968264</v>
      </c>
    </row>
    <row r="11" spans="1:21" x14ac:dyDescent="0.3">
      <c r="D11" t="str">
        <v>Dr Reddy's Labs</v>
      </c>
      <c r="H11" s="88">
        <v>1319.3</v>
      </c>
      <c r="I11" s="89">
        <v>834.09999999999991</v>
      </c>
      <c r="J11" s="86">
        <f t="shared" si="0"/>
        <v>1100428.1299999999</v>
      </c>
      <c r="K11" s="88">
        <v>58540</v>
      </c>
      <c r="L11" s="88">
        <v>20464</v>
      </c>
      <c r="M11" s="86">
        <f t="shared" si="1"/>
        <v>1138504.1299999999</v>
      </c>
      <c r="O11" s="88">
        <v>346822</v>
      </c>
      <c r="P11" s="88">
        <v>95149</v>
      </c>
      <c r="Q11" s="88">
        <v>55684</v>
      </c>
      <c r="S11" s="13">
        <f t="shared" si="2"/>
        <v>3.2826756376469772</v>
      </c>
      <c r="T11" s="13">
        <f t="shared" si="3"/>
        <v>11.965487078161619</v>
      </c>
      <c r="U11" s="13">
        <f t="shared" si="4"/>
        <v>19.762016557718553</v>
      </c>
    </row>
    <row r="12" spans="1:21" x14ac:dyDescent="0.3">
      <c r="D12" t="str">
        <v>Cipla</v>
      </c>
      <c r="H12" s="88">
        <v>1358.1</v>
      </c>
      <c r="I12" s="89">
        <v>807.4</v>
      </c>
      <c r="J12" s="86">
        <f t="shared" si="0"/>
        <v>1096529.94</v>
      </c>
      <c r="K12" s="88">
        <v>4673.7</v>
      </c>
      <c r="L12" s="88">
        <v>7958.5</v>
      </c>
      <c r="M12" s="86">
        <f t="shared" si="1"/>
        <v>1093245.1399999999</v>
      </c>
      <c r="O12" s="88">
        <v>283510.80000000005</v>
      </c>
      <c r="P12" s="88">
        <v>78205.600000000006</v>
      </c>
      <c r="Q12" s="88">
        <v>47548.2</v>
      </c>
      <c r="S12" s="13">
        <f t="shared" si="2"/>
        <v>3.8560969811379309</v>
      </c>
      <c r="T12" s="13">
        <f t="shared" si="3"/>
        <v>13.979115817793097</v>
      </c>
      <c r="U12" s="13">
        <f t="shared" si="4"/>
        <v>23.061439549762138</v>
      </c>
    </row>
    <row r="13" spans="1:21" x14ac:dyDescent="0.3">
      <c r="D13" t="str">
        <v>Lupin</v>
      </c>
      <c r="H13" s="88">
        <v>2323.1999999999998</v>
      </c>
      <c r="I13" s="89">
        <v>455.7</v>
      </c>
      <c r="J13" s="86">
        <f t="shared" si="0"/>
        <v>1058682.24</v>
      </c>
      <c r="K13" s="88">
        <v>62170</v>
      </c>
      <c r="L13" s="88">
        <v>30402.199999999997</v>
      </c>
      <c r="M13" s="86">
        <f t="shared" si="1"/>
        <v>1090450.04</v>
      </c>
      <c r="O13" s="88">
        <v>261505</v>
      </c>
      <c r="P13" s="88">
        <v>54336.4</v>
      </c>
      <c r="Q13" s="88">
        <v>49744.799999999996</v>
      </c>
      <c r="S13" s="13">
        <f t="shared" si="2"/>
        <v>4.1699013020783546</v>
      </c>
      <c r="T13" s="13">
        <f t="shared" si="3"/>
        <v>20.068499937426846</v>
      </c>
      <c r="U13" s="13">
        <f t="shared" si="4"/>
        <v>21.2822695035461</v>
      </c>
    </row>
    <row r="14" spans="1:21" x14ac:dyDescent="0.3">
      <c r="D14" t="str">
        <v>Zydus Lifesci.</v>
      </c>
      <c r="H14" s="88">
        <v>938.5</v>
      </c>
      <c r="I14" s="89">
        <v>1006.2</v>
      </c>
      <c r="J14" s="86">
        <f t="shared" si="0"/>
        <v>944318.70000000007</v>
      </c>
      <c r="K14" s="88">
        <v>96361</v>
      </c>
      <c r="L14" s="88">
        <v>27825</v>
      </c>
      <c r="M14" s="86">
        <f t="shared" si="1"/>
        <v>1012854.7000000001</v>
      </c>
      <c r="O14" s="88">
        <v>260893</v>
      </c>
      <c r="P14" s="88">
        <v>72935</v>
      </c>
      <c r="Q14" s="88">
        <v>51081.899999999994</v>
      </c>
      <c r="S14" s="13">
        <f t="shared" si="2"/>
        <v>3.8822609268934012</v>
      </c>
      <c r="T14" s="13">
        <f t="shared" si="3"/>
        <v>13.887087132378145</v>
      </c>
      <c r="U14" s="13">
        <f t="shared" si="4"/>
        <v>18.486366012227428</v>
      </c>
    </row>
    <row r="15" spans="1:21" x14ac:dyDescent="0.3">
      <c r="D15" t="str">
        <v>Alkem Lab</v>
      </c>
      <c r="H15" s="88">
        <v>5752</v>
      </c>
      <c r="I15" s="89">
        <v>119.60000000000001</v>
      </c>
      <c r="J15" s="86">
        <f t="shared" si="0"/>
        <v>687939.20000000007</v>
      </c>
      <c r="K15" s="88">
        <v>23556</v>
      </c>
      <c r="L15" s="88">
        <v>15476.5</v>
      </c>
      <c r="M15" s="86">
        <f t="shared" si="1"/>
        <v>696018.70000000007</v>
      </c>
      <c r="O15" s="88">
        <v>142527</v>
      </c>
      <c r="P15" s="88">
        <v>30012.9</v>
      </c>
      <c r="Q15" s="88">
        <v>24004.6</v>
      </c>
      <c r="S15" s="13">
        <f t="shared" si="2"/>
        <v>4.8834164754748226</v>
      </c>
      <c r="T15" s="13">
        <f t="shared" si="3"/>
        <v>23.190651353251436</v>
      </c>
      <c r="U15" s="13">
        <f t="shared" si="4"/>
        <v>28.658640427251449</v>
      </c>
    </row>
    <row r="17" spans="4:21" x14ac:dyDescent="0.3">
      <c r="J17" s="86"/>
    </row>
    <row r="18" spans="4:21" x14ac:dyDescent="0.3">
      <c r="D18" s="90" t="s">
        <v>317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1">
        <f>AVERAGE(S8:S15)</f>
        <v>6.9626236672330641</v>
      </c>
      <c r="T18" s="91">
        <f>AVERAGE(T8:T15)</f>
        <v>24.857306665477619</v>
      </c>
      <c r="U18" s="91">
        <f>AVERAGE(U8:U15)</f>
        <v>34.872562109334609</v>
      </c>
    </row>
    <row r="19" spans="4:21" x14ac:dyDescent="0.3">
      <c r="D19" s="90" t="s">
        <v>318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1">
        <f>MEDIAN(S8:S15)</f>
        <v>4.5266588887765886</v>
      </c>
      <c r="T19" s="91">
        <f>MEDIAN(T8:T15)</f>
        <v>21.629575645339141</v>
      </c>
      <c r="U19" s="91">
        <f>MEDIAN(U8:U15)</f>
        <v>25.860039988506792</v>
      </c>
    </row>
    <row r="21" spans="4:21" x14ac:dyDescent="0.3">
      <c r="D21" t="str">
        <f>D15</f>
        <v>Alkem Lab</v>
      </c>
      <c r="H21" s="88" cm="1">
        <f t="array" ref="H21:M21">H15:M15</f>
        <v>5752</v>
      </c>
      <c r="I21" s="89">
        <v>119.60000000000001</v>
      </c>
      <c r="J21" s="86">
        <v>687939.20000000007</v>
      </c>
      <c r="K21" s="88">
        <v>23556</v>
      </c>
      <c r="L21" s="88">
        <v>15476.5</v>
      </c>
      <c r="M21" s="86">
        <v>696018.70000000007</v>
      </c>
      <c r="O21" s="88" cm="1">
        <f t="array" ref="O21:Q21">O15:Q15</f>
        <v>142527</v>
      </c>
      <c r="P21" s="88">
        <v>30012.9</v>
      </c>
      <c r="Q21" s="88">
        <v>24004.6</v>
      </c>
      <c r="S21" s="13" cm="1">
        <f t="array" ref="S21:U21">S15:U15</f>
        <v>4.8834164754748226</v>
      </c>
      <c r="T21" s="13">
        <v>23.190651353251436</v>
      </c>
      <c r="U21" s="13">
        <v>28.658640427251449</v>
      </c>
    </row>
    <row r="23" spans="4:21" x14ac:dyDescent="0.3">
      <c r="D23" s="90" t="s">
        <v>319</v>
      </c>
      <c r="E23" s="90" t="s">
        <v>320</v>
      </c>
      <c r="F23" s="90"/>
      <c r="G23" s="90"/>
      <c r="H23" s="90" t="s">
        <v>293</v>
      </c>
      <c r="I23" s="90" t="s">
        <v>321</v>
      </c>
      <c r="J23" s="90" t="s">
        <v>322</v>
      </c>
      <c r="K23" s="90" t="s">
        <v>323</v>
      </c>
      <c r="L23" s="90" t="s">
        <v>324</v>
      </c>
    </row>
    <row r="24" spans="4:21" x14ac:dyDescent="0.3">
      <c r="D24" t="str" cm="1">
        <f t="array" ref="D24:D26">TRANSPOSE(S6:U6)</f>
        <v>EV/Sales</v>
      </c>
      <c r="E24" s="13" cm="1">
        <f t="array" ref="E24:E26">TRANSPOSE(S19:U19)</f>
        <v>4.5266588887765886</v>
      </c>
      <c r="H24" s="86">
        <f>E24*O21</f>
        <v>645171.1114406609</v>
      </c>
      <c r="I24" s="86">
        <f>K21-L21</f>
        <v>8079.5</v>
      </c>
      <c r="J24" s="86">
        <f>H24-I24</f>
        <v>637091.6114406609</v>
      </c>
      <c r="K24">
        <f>I21</f>
        <v>119.60000000000001</v>
      </c>
      <c r="L24" s="86">
        <f>J24/K24</f>
        <v>5326.8529384670637</v>
      </c>
    </row>
    <row r="25" spans="4:21" x14ac:dyDescent="0.3">
      <c r="D25" t="str">
        <v>EV/EBITDA</v>
      </c>
      <c r="E25" s="13">
        <v>21.629575645339141</v>
      </c>
      <c r="H25" s="86">
        <f>E25*P21</f>
        <v>649166.2908859991</v>
      </c>
      <c r="I25" s="86">
        <f>I24</f>
        <v>8079.5</v>
      </c>
      <c r="J25" s="86">
        <f>H25-I25</f>
        <v>641086.7908859991</v>
      </c>
      <c r="K25">
        <f>K24</f>
        <v>119.60000000000001</v>
      </c>
      <c r="L25" s="86">
        <f>J25/K25</f>
        <v>5360.2574488795908</v>
      </c>
    </row>
    <row r="26" spans="4:21" x14ac:dyDescent="0.3">
      <c r="D26" t="str">
        <v>P/E</v>
      </c>
      <c r="E26" s="13">
        <v>25.860039988506792</v>
      </c>
      <c r="H26" s="86">
        <f>SUM(I26:J26)</f>
        <v>628839.4159081101</v>
      </c>
      <c r="I26" s="86">
        <f>I25</f>
        <v>8079.5</v>
      </c>
      <c r="J26" s="86">
        <f>E26*Q21</f>
        <v>620759.9159081101</v>
      </c>
      <c r="K26">
        <f>K25</f>
        <v>119.60000000000001</v>
      </c>
      <c r="L26" s="86">
        <f>J26/K26</f>
        <v>5190.3003002350342</v>
      </c>
    </row>
  </sheetData>
  <pageMargins left="0.7" right="0.7" top="0.75" bottom="0.75" header="0.3" footer="0.3"/>
  <ignoredErrors>
    <ignoredError sqref="J25:J26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4EFB-DA51-40DA-8DA9-E0A26635BF2E}">
  <dimension ref="A1:Q46"/>
  <sheetViews>
    <sheetView showGridLines="0" topLeftCell="F8" zoomScale="96" zoomScaleNormal="70" workbookViewId="0">
      <selection sqref="A1:XFD2"/>
    </sheetView>
  </sheetViews>
  <sheetFormatPr defaultColWidth="11.77734375" defaultRowHeight="14.4" x14ac:dyDescent="0.3"/>
  <cols>
    <col min="1" max="3" width="1.33203125" style="1" customWidth="1"/>
    <col min="4" max="4" width="40.77734375" customWidth="1"/>
    <col min="5" max="6" width="12.77734375" customWidth="1"/>
    <col min="7" max="7" width="2.77734375" customWidth="1"/>
    <col min="8" max="8" width="22.21875" bestFit="1" customWidth="1"/>
    <col min="9" max="10" width="11.88671875" bestFit="1" customWidth="1"/>
    <col min="16" max="17" width="11.77734375" customWidth="1"/>
  </cols>
  <sheetData>
    <row r="1" spans="1:17" s="93" customFormat="1" ht="32.4" x14ac:dyDescent="0.6">
      <c r="A1" s="9" t="s">
        <v>9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7" s="93" customFormat="1" ht="23.4" x14ac:dyDescent="0.45">
      <c r="A2" s="38" t="s">
        <v>345</v>
      </c>
      <c r="B2" s="8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5" spans="1:17" x14ac:dyDescent="0.3">
      <c r="A5" s="30" t="s">
        <v>346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7" x14ac:dyDescent="0.3">
      <c r="D6" s="4"/>
      <c r="E6" s="4"/>
      <c r="F6" s="4"/>
      <c r="G6" s="4"/>
      <c r="H6" s="105" t="s">
        <v>211</v>
      </c>
      <c r="I6" s="105" t="s">
        <v>348</v>
      </c>
      <c r="J6" s="105" t="s">
        <v>349</v>
      </c>
      <c r="K6" s="105" t="s">
        <v>349</v>
      </c>
      <c r="L6" s="105" t="s">
        <v>351</v>
      </c>
      <c r="M6" s="105" t="s">
        <v>353</v>
      </c>
      <c r="N6" s="105" t="s">
        <v>354</v>
      </c>
    </row>
    <row r="7" spans="1:17" x14ac:dyDescent="0.3">
      <c r="D7" s="106" t="s">
        <v>306</v>
      </c>
      <c r="E7" s="106"/>
      <c r="F7" s="106"/>
      <c r="G7" s="106"/>
      <c r="H7" s="107" t="s">
        <v>347</v>
      </c>
      <c r="I7" s="107" t="s">
        <v>208</v>
      </c>
      <c r="J7" s="107" t="s">
        <v>211</v>
      </c>
      <c r="K7" s="107" t="s">
        <v>350</v>
      </c>
      <c r="L7" s="107" t="s">
        <v>352</v>
      </c>
      <c r="M7" s="107" t="s">
        <v>341</v>
      </c>
      <c r="N7" s="107" t="s">
        <v>341</v>
      </c>
    </row>
    <row r="8" spans="1:17" x14ac:dyDescent="0.3">
      <c r="D8" t="str" cm="1">
        <f t="array" ref="D8:D14">Comps_Data!B2:B8</f>
        <v>Sun Pharma.Inds.</v>
      </c>
      <c r="H8" s="86" cm="1">
        <f t="array" ref="H8:H14">Comps!J8:J14</f>
        <v>4284430.0100000007</v>
      </c>
      <c r="I8" s="86">
        <f>Comps!K8</f>
        <v>52151</v>
      </c>
      <c r="J8" s="108">
        <f>I8/H8</f>
        <v>1.2172214245133622E-2</v>
      </c>
      <c r="K8" s="108">
        <f>I8/(H8+I81)</f>
        <v>1.2172214245133622E-2</v>
      </c>
      <c r="L8" s="56" cm="1">
        <f t="array" ref="L8:L14">Comps_Data!P2:P8</f>
        <v>0.23941016784310584</v>
      </c>
      <c r="M8" s="13" cm="1">
        <f t="array" ref="M8:M14">Comps_Data!O2:O8</f>
        <v>0.09</v>
      </c>
      <c r="N8" s="13">
        <f>M8/(J8*(1-L8)+1)</f>
        <v>8.9174417677577264E-2</v>
      </c>
      <c r="O8" s="187" t="s">
        <v>387</v>
      </c>
      <c r="P8" s="187"/>
      <c r="Q8" s="187"/>
    </row>
    <row r="9" spans="1:17" x14ac:dyDescent="0.3">
      <c r="D9" t="str">
        <v>Divi's Lab.</v>
      </c>
      <c r="H9" s="86">
        <v>1718847</v>
      </c>
      <c r="I9" s="86">
        <f>Comps!K9</f>
        <v>900</v>
      </c>
      <c r="J9" s="108">
        <f t="shared" ref="J9:J14" si="0">I9/H9</f>
        <v>5.2360681317185302E-4</v>
      </c>
      <c r="K9" s="108">
        <f t="shared" ref="K9:K14" si="1">I9/(H9+I82)</f>
        <v>5.2360681317185302E-4</v>
      </c>
      <c r="L9" s="56">
        <v>0.24227776996772624</v>
      </c>
      <c r="M9" s="13">
        <v>0.09</v>
      </c>
      <c r="N9" s="13">
        <f t="shared" ref="N9:N14" si="2">M9/(J9*(1-L9)+1)</f>
        <v>8.9964306794234339E-2</v>
      </c>
      <c r="O9" s="187"/>
      <c r="P9" s="187"/>
      <c r="Q9" s="187"/>
    </row>
    <row r="10" spans="1:17" x14ac:dyDescent="0.3">
      <c r="D10" t="str">
        <v>Torrent Pharma.</v>
      </c>
      <c r="H10" s="86">
        <v>1488892.3200000003</v>
      </c>
      <c r="I10" s="86">
        <f>Comps!K10</f>
        <v>28220</v>
      </c>
      <c r="J10" s="108">
        <f t="shared" si="0"/>
        <v>1.8953687664934691E-2</v>
      </c>
      <c r="K10" s="108">
        <f t="shared" si="1"/>
        <v>1.8953687664934691E-2</v>
      </c>
      <c r="L10" s="56">
        <v>0.24198347542190934</v>
      </c>
      <c r="M10" s="13">
        <v>0.13</v>
      </c>
      <c r="N10" s="13">
        <f t="shared" si="2"/>
        <v>0.12815871699798592</v>
      </c>
      <c r="O10" s="187"/>
      <c r="P10" s="187"/>
      <c r="Q10" s="187"/>
    </row>
    <row r="11" spans="1:17" x14ac:dyDescent="0.3">
      <c r="D11" t="str">
        <v>Dr Reddy's Labs</v>
      </c>
      <c r="H11" s="86">
        <v>1100428.1299999999</v>
      </c>
      <c r="I11" s="86">
        <f>Comps!K11</f>
        <v>58540</v>
      </c>
      <c r="J11" s="108">
        <f t="shared" si="0"/>
        <v>5.3197476876568034E-2</v>
      </c>
      <c r="K11" s="108">
        <f t="shared" si="1"/>
        <v>5.3197476876568034E-2</v>
      </c>
      <c r="L11" s="56">
        <v>0.20954721154023598</v>
      </c>
      <c r="M11" s="13">
        <v>0.28999999999999998</v>
      </c>
      <c r="N11" s="13">
        <f t="shared" si="2"/>
        <v>0.2782975614009025</v>
      </c>
      <c r="O11" s="187"/>
      <c r="P11" s="187"/>
      <c r="Q11" s="187"/>
    </row>
    <row r="12" spans="1:17" x14ac:dyDescent="0.3">
      <c r="D12" t="str">
        <v>Cipla</v>
      </c>
      <c r="H12" s="86">
        <v>1096529.94</v>
      </c>
      <c r="I12" s="86">
        <f>Comps!K12</f>
        <v>4673.7</v>
      </c>
      <c r="J12" s="108">
        <f t="shared" si="0"/>
        <v>4.2622639195788858E-3</v>
      </c>
      <c r="K12" s="108">
        <f t="shared" si="1"/>
        <v>4.2622639195788858E-3</v>
      </c>
      <c r="L12" s="56">
        <v>0.26052796103278064</v>
      </c>
      <c r="M12" s="13">
        <v>-0.05</v>
      </c>
      <c r="N12" s="13">
        <f t="shared" si="2"/>
        <v>-4.9842903889884514E-2</v>
      </c>
      <c r="O12" s="187"/>
      <c r="P12" s="187"/>
      <c r="Q12" s="187"/>
    </row>
    <row r="13" spans="1:17" x14ac:dyDescent="0.3">
      <c r="D13" t="str">
        <v>Lupin</v>
      </c>
      <c r="H13" s="86">
        <v>1058682.24</v>
      </c>
      <c r="I13" s="86">
        <f>Comps!K13</f>
        <v>62170</v>
      </c>
      <c r="J13" s="108">
        <f t="shared" si="0"/>
        <v>5.8723947234630099E-2</v>
      </c>
      <c r="K13" s="108">
        <f t="shared" si="1"/>
        <v>5.8723947234630099E-2</v>
      </c>
      <c r="L13" s="56">
        <v>0.190574207289987</v>
      </c>
      <c r="M13" s="13">
        <v>0.3</v>
      </c>
      <c r="N13" s="13">
        <f t="shared" si="2"/>
        <v>0.2863872473211021</v>
      </c>
      <c r="O13" s="187"/>
      <c r="P13" s="187"/>
      <c r="Q13" s="187"/>
    </row>
    <row r="14" spans="1:17" x14ac:dyDescent="0.3">
      <c r="D14" t="str">
        <v>Zydus Lifesci.</v>
      </c>
      <c r="H14" s="86">
        <v>944318.70000000007</v>
      </c>
      <c r="I14" s="86">
        <f>Comps!K14</f>
        <v>96361</v>
      </c>
      <c r="J14" s="108">
        <f t="shared" si="0"/>
        <v>0.1020428802267709</v>
      </c>
      <c r="K14" s="108">
        <f t="shared" si="1"/>
        <v>0.1020428802267709</v>
      </c>
      <c r="L14" s="56">
        <v>6.9454919063077256E-2</v>
      </c>
      <c r="M14" s="13">
        <v>0.37</v>
      </c>
      <c r="N14" s="13">
        <f t="shared" si="2"/>
        <v>0.33791327585369146</v>
      </c>
      <c r="O14" s="187"/>
      <c r="P14" s="187"/>
      <c r="Q14" s="187"/>
    </row>
    <row r="15" spans="1:17" x14ac:dyDescent="0.3">
      <c r="N15" s="13"/>
      <c r="O15" s="187"/>
      <c r="P15" s="187"/>
      <c r="Q15" s="187"/>
    </row>
    <row r="16" spans="1:17" x14ac:dyDescent="0.3">
      <c r="D16" s="113" t="s">
        <v>317</v>
      </c>
      <c r="E16" s="113"/>
      <c r="F16" s="113"/>
      <c r="G16" s="113"/>
      <c r="H16" s="109">
        <f>AVERAGE(_xlfn.ANCHORARRAY(H8))</f>
        <v>1670304.0485714285</v>
      </c>
      <c r="I16" s="109">
        <f>AVERAGE(I8:I14)</f>
        <v>43287.957142857143</v>
      </c>
      <c r="J16" s="110">
        <f>AVERAGE(J8:J14)</f>
        <v>3.5696582425826864E-2</v>
      </c>
      <c r="K16" s="110">
        <f>AVERAGE(K8:K14)</f>
        <v>3.5696582425826864E-2</v>
      </c>
      <c r="L16" s="111">
        <f>AVERAGE(_xlfn.ANCHORARRAY(L8))</f>
        <v>0.20768224459411749</v>
      </c>
      <c r="M16" s="112">
        <f>Comps_Data!C31</f>
        <v>0.65224175009397301</v>
      </c>
      <c r="N16" s="112">
        <f>Comps_Data!D31</f>
        <v>0.54925621060545082</v>
      </c>
      <c r="O16" s="187"/>
      <c r="P16" s="187"/>
      <c r="Q16" s="187"/>
    </row>
    <row r="17" spans="1:17" x14ac:dyDescent="0.3">
      <c r="D17" s="113" t="s">
        <v>318</v>
      </c>
      <c r="E17" s="113"/>
      <c r="F17" s="113"/>
      <c r="G17" s="113"/>
      <c r="H17" s="109">
        <f>MEDIAN(_xlfn.ANCHORARRAY(H8))</f>
        <v>1100428.1299999999</v>
      </c>
      <c r="I17" s="109">
        <f>MEDIAN(I8:I14)</f>
        <v>52151</v>
      </c>
      <c r="J17" s="110">
        <f>MEDIAN(J8:J14)</f>
        <v>1.8953687664934691E-2</v>
      </c>
      <c r="K17" s="110">
        <f>MEDIAN(K8:K14)</f>
        <v>1.8953687664934691E-2</v>
      </c>
      <c r="L17" s="111">
        <f>MEDIAN(L8:L14)</f>
        <v>0.23941016784310584</v>
      </c>
      <c r="M17" s="112">
        <f>Comps_Data!C32</f>
        <v>0.57148874166166097</v>
      </c>
      <c r="N17" s="112">
        <f>Comps_Data!D32</f>
        <v>0.48125367718876699</v>
      </c>
      <c r="O17" s="187"/>
      <c r="P17" s="187"/>
      <c r="Q17" s="187"/>
    </row>
    <row r="19" spans="1:17" x14ac:dyDescent="0.3">
      <c r="D19" t="s">
        <v>315</v>
      </c>
      <c r="H19" s="86">
        <v>687939.20000000007</v>
      </c>
      <c r="I19" s="86">
        <v>23556</v>
      </c>
      <c r="J19" s="108">
        <v>3.424139807703936E-2</v>
      </c>
      <c r="K19" s="108">
        <v>3.424139807703936E-2</v>
      </c>
      <c r="L19" s="56">
        <v>0.14888773853168721</v>
      </c>
      <c r="M19" s="13"/>
      <c r="N19" s="13"/>
    </row>
    <row r="21" spans="1:17" x14ac:dyDescent="0.3">
      <c r="A21" s="30" t="s">
        <v>355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3" spans="1:17" x14ac:dyDescent="0.3">
      <c r="C23" s="114" t="s">
        <v>356</v>
      </c>
      <c r="D23" s="113"/>
      <c r="E23" s="113"/>
      <c r="F23" s="113"/>
      <c r="G23" s="113"/>
      <c r="H23" s="113"/>
    </row>
    <row r="25" spans="1:17" x14ac:dyDescent="0.3">
      <c r="D25" s="65" t="s">
        <v>357</v>
      </c>
      <c r="E25" s="26"/>
      <c r="F25" s="26"/>
      <c r="G25" s="26"/>
      <c r="H25" s="115">
        <f>K16</f>
        <v>3.5696582425826864E-2</v>
      </c>
    </row>
    <row r="26" spans="1:17" x14ac:dyDescent="0.3">
      <c r="D26" s="1" t="s">
        <v>358</v>
      </c>
      <c r="H26" s="108">
        <f>1-H25</f>
        <v>0.96430341757417315</v>
      </c>
    </row>
    <row r="28" spans="1:17" x14ac:dyDescent="0.3">
      <c r="C28" s="114" t="s">
        <v>359</v>
      </c>
      <c r="D28" s="113"/>
      <c r="E28" s="113"/>
      <c r="F28" s="113"/>
      <c r="G28" s="113"/>
      <c r="H28" s="113"/>
    </row>
    <row r="29" spans="1:17" x14ac:dyDescent="0.3">
      <c r="D29" t="s">
        <v>292</v>
      </c>
      <c r="H29" s="86">
        <f>H19</f>
        <v>687939.20000000007</v>
      </c>
    </row>
    <row r="30" spans="1:17" x14ac:dyDescent="0.3">
      <c r="D30" t="s">
        <v>362</v>
      </c>
      <c r="H30" s="86">
        <f>I19</f>
        <v>23556</v>
      </c>
    </row>
    <row r="31" spans="1:17" x14ac:dyDescent="0.3">
      <c r="D31" t="s">
        <v>363</v>
      </c>
      <c r="H31" s="108">
        <f>J19</f>
        <v>3.424139807703936E-2</v>
      </c>
    </row>
    <row r="33" spans="3:8" x14ac:dyDescent="0.3">
      <c r="C33" s="114" t="s">
        <v>360</v>
      </c>
      <c r="D33" s="113"/>
      <c r="E33" s="113"/>
      <c r="F33" s="113"/>
      <c r="G33" s="113"/>
      <c r="H33" s="113"/>
    </row>
    <row r="34" spans="3:8" x14ac:dyDescent="0.3">
      <c r="D34" t="s">
        <v>364</v>
      </c>
      <c r="H34" s="108">
        <f>Model!M12</f>
        <v>5.8936421794836005E-2</v>
      </c>
    </row>
    <row r="35" spans="3:8" x14ac:dyDescent="0.3">
      <c r="D35" t="s">
        <v>344</v>
      </c>
      <c r="H35" s="108">
        <f>Model!M14</f>
        <v>0.13624256155349199</v>
      </c>
    </row>
    <row r="36" spans="3:8" x14ac:dyDescent="0.3">
      <c r="D36" t="s">
        <v>365</v>
      </c>
      <c r="H36" s="108">
        <f>H34*(1-H35)</f>
        <v>5.0906772720710494E-2</v>
      </c>
    </row>
    <row r="38" spans="3:8" x14ac:dyDescent="0.3">
      <c r="C38" s="114" t="s">
        <v>361</v>
      </c>
      <c r="D38" s="113"/>
      <c r="E38" s="113"/>
      <c r="F38" s="113"/>
      <c r="G38" s="113"/>
      <c r="H38" s="113"/>
    </row>
    <row r="39" spans="3:8" x14ac:dyDescent="0.3">
      <c r="D39" t="s">
        <v>366</v>
      </c>
      <c r="H39" s="108">
        <v>6.6500000000000004E-2</v>
      </c>
    </row>
    <row r="40" spans="3:8" x14ac:dyDescent="0.3">
      <c r="D40" t="s">
        <v>334</v>
      </c>
      <c r="H40" s="108">
        <f>'Market Data'!E7</f>
        <v>0.13744450049016899</v>
      </c>
    </row>
    <row r="41" spans="3:8" x14ac:dyDescent="0.3">
      <c r="D41" t="s">
        <v>367</v>
      </c>
      <c r="H41" s="108">
        <f>H40-H39</f>
        <v>7.0944500490168982E-2</v>
      </c>
    </row>
    <row r="42" spans="3:8" x14ac:dyDescent="0.3">
      <c r="D42" t="s">
        <v>368</v>
      </c>
      <c r="H42" s="13">
        <f>N17*(1+H31*(1-H35))</f>
        <v>0.49548736217421963</v>
      </c>
    </row>
    <row r="43" spans="3:8" x14ac:dyDescent="0.3">
      <c r="D43" s="41" t="s">
        <v>361</v>
      </c>
      <c r="E43" s="26"/>
      <c r="F43" s="26"/>
      <c r="G43" s="26"/>
      <c r="H43" s="115">
        <f>H39+H41*H42</f>
        <v>0.10165210340864146</v>
      </c>
    </row>
    <row r="45" spans="3:8" ht="15" thickBot="1" x14ac:dyDescent="0.35">
      <c r="D45" s="45" t="s">
        <v>369</v>
      </c>
      <c r="E45" s="45"/>
      <c r="F45" s="45"/>
      <c r="G45" s="45"/>
      <c r="H45" s="116">
        <f>(H43*H26)+(H36*H25)</f>
        <v>9.9840668529013896E-2</v>
      </c>
    </row>
    <row r="46" spans="3:8" ht="15" thickTop="1" x14ac:dyDescent="0.3"/>
  </sheetData>
  <mergeCells count="1">
    <mergeCell ref="O8:Q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FE8C-B5AD-408D-B55C-0837E091E357}">
  <dimension ref="A1:P1239"/>
  <sheetViews>
    <sheetView showGridLines="0" topLeftCell="A4" workbookViewId="0">
      <selection activeCell="H10" sqref="H10"/>
    </sheetView>
  </sheetViews>
  <sheetFormatPr defaultRowHeight="14.4" x14ac:dyDescent="0.3"/>
  <cols>
    <col min="1" max="5" width="13.109375" customWidth="1"/>
  </cols>
  <sheetData>
    <row r="1" spans="1:14" s="93" customFormat="1" ht="32.4" x14ac:dyDescent="0.6">
      <c r="A1" s="9" t="s">
        <v>9</v>
      </c>
      <c r="B1" s="6"/>
      <c r="C1" s="6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93" customFormat="1" ht="23.4" x14ac:dyDescent="0.45">
      <c r="A2" s="38" t="s">
        <v>388</v>
      </c>
      <c r="B2" s="8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x14ac:dyDescent="0.3">
      <c r="A3" s="125"/>
      <c r="B3" s="125" t="s">
        <v>339</v>
      </c>
      <c r="C3" s="125" t="s">
        <v>389</v>
      </c>
      <c r="D3" s="125" t="s">
        <v>392</v>
      </c>
      <c r="E3" s="125" t="s">
        <v>389</v>
      </c>
    </row>
    <row r="4" spans="1:14" x14ac:dyDescent="0.3">
      <c r="A4" s="125" t="s">
        <v>335</v>
      </c>
      <c r="B4" s="125" t="s">
        <v>390</v>
      </c>
      <c r="C4" s="125" t="s">
        <v>391</v>
      </c>
      <c r="D4" s="125" t="s">
        <v>390</v>
      </c>
      <c r="E4" s="125" t="s">
        <v>391</v>
      </c>
    </row>
    <row r="5" spans="1:14" x14ac:dyDescent="0.3">
      <c r="A5" s="126">
        <v>44253</v>
      </c>
      <c r="B5" s="127">
        <v>14529.150390625</v>
      </c>
      <c r="C5" s="13"/>
      <c r="D5" s="127">
        <v>2587.07275390625</v>
      </c>
    </row>
    <row r="6" spans="1:14" x14ac:dyDescent="0.3">
      <c r="A6" s="126">
        <v>44256</v>
      </c>
      <c r="B6" s="127">
        <v>14761.5498046875</v>
      </c>
      <c r="C6" s="56">
        <f>B6/B5-1</f>
        <v>1.5995389118723446E-2</v>
      </c>
      <c r="D6" s="127">
        <v>2687.10400390625</v>
      </c>
      <c r="E6" s="56">
        <f>D6/D5-1</f>
        <v>3.8665804759051126E-2</v>
      </c>
    </row>
    <row r="7" spans="1:14" x14ac:dyDescent="0.3">
      <c r="A7" s="126">
        <v>44257</v>
      </c>
      <c r="B7" s="127">
        <v>14919.099609375</v>
      </c>
      <c r="C7" s="56">
        <f t="shared" ref="C7:C70" si="0">B7/B6-1</f>
        <v>1.0672985341787733E-2</v>
      </c>
      <c r="D7" s="127">
        <v>2770.12231445312</v>
      </c>
      <c r="E7" s="56">
        <f t="shared" ref="E7:E70" si="1">D7/D6-1</f>
        <v>3.0895086467135568E-2</v>
      </c>
    </row>
    <row r="8" spans="1:14" x14ac:dyDescent="0.3">
      <c r="A8" s="126">
        <v>44258</v>
      </c>
      <c r="B8" s="127">
        <v>15245.599609375</v>
      </c>
      <c r="C8" s="56">
        <f t="shared" si="0"/>
        <v>2.1884698711632122E-2</v>
      </c>
      <c r="D8" s="127">
        <v>2701.16967773437</v>
      </c>
      <c r="E8" s="56">
        <f t="shared" si="1"/>
        <v>-2.4891549502702226E-2</v>
      </c>
      <c r="H8" s="134" t="s">
        <v>341</v>
      </c>
      <c r="I8" s="134">
        <f>SLOPE(E6:E1239,C6:C1239)</f>
        <v>0.49217341132129677</v>
      </c>
    </row>
    <row r="9" spans="1:14" x14ac:dyDescent="0.3">
      <c r="A9" s="126">
        <v>44259</v>
      </c>
      <c r="B9" s="127">
        <v>15080.75</v>
      </c>
      <c r="C9" s="56">
        <f t="shared" si="0"/>
        <v>-1.0812930524138231E-2</v>
      </c>
      <c r="D9" s="127">
        <v>2689.33642578125</v>
      </c>
      <c r="E9" s="56">
        <f t="shared" si="1"/>
        <v>-4.3807880899378038E-3</v>
      </c>
    </row>
    <row r="10" spans="1:14" x14ac:dyDescent="0.3">
      <c r="A10" s="126">
        <v>44260</v>
      </c>
      <c r="B10" s="127">
        <v>14938.099609375</v>
      </c>
      <c r="C10" s="56">
        <f t="shared" si="0"/>
        <v>-9.4591045289524889E-3</v>
      </c>
      <c r="D10" s="127">
        <v>2645.3330078125</v>
      </c>
      <c r="E10" s="56">
        <f t="shared" si="1"/>
        <v>-1.6362184197898255E-2</v>
      </c>
    </row>
    <row r="11" spans="1:14" x14ac:dyDescent="0.3">
      <c r="A11" s="126">
        <v>44263</v>
      </c>
      <c r="B11" s="127">
        <v>14956.2001953125</v>
      </c>
      <c r="C11" s="56">
        <f t="shared" si="0"/>
        <v>1.2117060677612201E-3</v>
      </c>
      <c r="D11" s="127">
        <v>2647.51879882812</v>
      </c>
      <c r="E11" s="56">
        <f t="shared" si="1"/>
        <v>8.2628198762302318E-4</v>
      </c>
    </row>
    <row r="12" spans="1:14" x14ac:dyDescent="0.3">
      <c r="A12" s="126">
        <v>44264</v>
      </c>
      <c r="B12" s="127">
        <v>15098.400390625</v>
      </c>
      <c r="C12" s="56">
        <f t="shared" si="0"/>
        <v>9.5077756017913906E-3</v>
      </c>
      <c r="D12" s="127">
        <v>2634.92553710937</v>
      </c>
      <c r="E12" s="56">
        <f t="shared" si="1"/>
        <v>-4.7566278752484425E-3</v>
      </c>
    </row>
    <row r="13" spans="1:14" x14ac:dyDescent="0.3">
      <c r="A13" s="126">
        <v>44265</v>
      </c>
      <c r="B13" s="127">
        <v>15174.7998046875</v>
      </c>
      <c r="C13" s="56">
        <f t="shared" si="0"/>
        <v>5.0600998838219446E-3</v>
      </c>
      <c r="D13" s="127">
        <v>2603.89526367187</v>
      </c>
      <c r="E13" s="56">
        <f t="shared" si="1"/>
        <v>-1.1776527647738178E-2</v>
      </c>
    </row>
    <row r="14" spans="1:14" x14ac:dyDescent="0.3">
      <c r="A14" s="126">
        <v>44267</v>
      </c>
      <c r="B14" s="127">
        <v>15030.9501953125</v>
      </c>
      <c r="C14" s="56">
        <f t="shared" si="0"/>
        <v>-9.4795062357636573E-3</v>
      </c>
      <c r="D14" s="127">
        <v>2635.97143554687</v>
      </c>
      <c r="E14" s="56">
        <f t="shared" si="1"/>
        <v>1.231853382219672E-2</v>
      </c>
      <c r="H14" t="s">
        <v>393</v>
      </c>
    </row>
    <row r="15" spans="1:14" ht="15" thickBot="1" x14ac:dyDescent="0.35">
      <c r="A15" s="126">
        <v>44270</v>
      </c>
      <c r="B15" s="127">
        <v>14929.5</v>
      </c>
      <c r="C15" s="56">
        <f t="shared" si="0"/>
        <v>-6.749419963093084E-3</v>
      </c>
      <c r="D15" s="127">
        <v>2552.71484375</v>
      </c>
      <c r="E15" s="56">
        <f t="shared" si="1"/>
        <v>-3.1584785280344696E-2</v>
      </c>
    </row>
    <row r="16" spans="1:14" x14ac:dyDescent="0.3">
      <c r="A16" s="126">
        <v>44271</v>
      </c>
      <c r="B16" s="127">
        <v>14910.4501953125</v>
      </c>
      <c r="C16" s="56">
        <f t="shared" si="0"/>
        <v>-1.275984104457617E-3</v>
      </c>
      <c r="D16" s="127">
        <v>2525.72290039062</v>
      </c>
      <c r="E16" s="56">
        <f t="shared" si="1"/>
        <v>-1.0573818468391116E-2</v>
      </c>
      <c r="H16" s="130" t="s">
        <v>394</v>
      </c>
      <c r="I16" s="130"/>
    </row>
    <row r="17" spans="1:16" x14ac:dyDescent="0.3">
      <c r="A17" s="126">
        <v>44272</v>
      </c>
      <c r="B17" s="127">
        <v>14721.2998046875</v>
      </c>
      <c r="C17" s="56">
        <f t="shared" si="0"/>
        <v>-1.2685759862868795E-2</v>
      </c>
      <c r="D17" s="127">
        <v>2501.10815429687</v>
      </c>
      <c r="E17" s="56">
        <f t="shared" si="1"/>
        <v>-9.7456241498000695E-3</v>
      </c>
      <c r="H17" t="s">
        <v>395</v>
      </c>
      <c r="I17">
        <v>0.28701620980779419</v>
      </c>
    </row>
    <row r="18" spans="1:16" x14ac:dyDescent="0.3">
      <c r="A18" s="126">
        <v>44273</v>
      </c>
      <c r="B18" s="127">
        <v>14557.849609375</v>
      </c>
      <c r="C18" s="56">
        <f t="shared" si="0"/>
        <v>-1.1102973071742905E-2</v>
      </c>
      <c r="D18" s="127">
        <v>2499.15942382812</v>
      </c>
      <c r="E18" s="56">
        <f t="shared" si="1"/>
        <v>-7.7914682154067716E-4</v>
      </c>
      <c r="H18" t="s">
        <v>396</v>
      </c>
      <c r="I18">
        <v>8.2378304692431736E-2</v>
      </c>
    </row>
    <row r="19" spans="1:16" x14ac:dyDescent="0.3">
      <c r="A19" s="126">
        <v>44274</v>
      </c>
      <c r="B19" s="127">
        <v>14744</v>
      </c>
      <c r="C19" s="56">
        <f t="shared" si="0"/>
        <v>1.2786942826028547E-2</v>
      </c>
      <c r="D19" s="127">
        <v>2494.69213867187</v>
      </c>
      <c r="E19" s="56">
        <f t="shared" si="1"/>
        <v>-1.7875150795331196E-3</v>
      </c>
      <c r="H19" t="s">
        <v>397</v>
      </c>
      <c r="I19">
        <v>8.1633481887798967E-2</v>
      </c>
    </row>
    <row r="20" spans="1:16" x14ac:dyDescent="0.3">
      <c r="A20" s="126">
        <v>44277</v>
      </c>
      <c r="B20" s="127">
        <v>14736.400390625</v>
      </c>
      <c r="C20" s="56">
        <f t="shared" si="0"/>
        <v>-5.1543742369775103E-4</v>
      </c>
      <c r="D20" s="127">
        <v>2490.60595703125</v>
      </c>
      <c r="E20" s="56">
        <f t="shared" si="1"/>
        <v>-1.6379502613879104E-3</v>
      </c>
      <c r="H20" t="s">
        <v>398</v>
      </c>
      <c r="I20">
        <v>1.4061782828635646E-2</v>
      </c>
    </row>
    <row r="21" spans="1:16" ht="15" thickBot="1" x14ac:dyDescent="0.35">
      <c r="A21" s="126">
        <v>44278</v>
      </c>
      <c r="B21" s="127">
        <v>14814.75</v>
      </c>
      <c r="C21" s="56">
        <f t="shared" si="0"/>
        <v>5.31673999743143E-3</v>
      </c>
      <c r="D21" s="127">
        <v>2468.69848632812</v>
      </c>
      <c r="E21" s="56">
        <f t="shared" si="1"/>
        <v>-8.7960404339686438E-3</v>
      </c>
      <c r="H21" s="128" t="s">
        <v>399</v>
      </c>
      <c r="I21" s="128">
        <v>1234</v>
      </c>
    </row>
    <row r="22" spans="1:16" x14ac:dyDescent="0.3">
      <c r="A22" s="126">
        <v>44279</v>
      </c>
      <c r="B22" s="127">
        <v>14549.400390625</v>
      </c>
      <c r="C22" s="56">
        <f t="shared" si="0"/>
        <v>-1.7911176994211853E-2</v>
      </c>
      <c r="D22" s="127">
        <v>2447.12451171875</v>
      </c>
      <c r="E22" s="56">
        <f t="shared" si="1"/>
        <v>-8.7390075089560648E-3</v>
      </c>
    </row>
    <row r="23" spans="1:16" ht="15" thickBot="1" x14ac:dyDescent="0.35">
      <c r="A23" s="126">
        <v>44280</v>
      </c>
      <c r="B23" s="127">
        <v>14324.900390625</v>
      </c>
      <c r="C23" s="56">
        <f t="shared" si="0"/>
        <v>-1.5430189146808937E-2</v>
      </c>
      <c r="D23" s="127">
        <v>2509.42407226562</v>
      </c>
      <c r="E23" s="56">
        <f t="shared" si="1"/>
        <v>2.5458271636171759E-2</v>
      </c>
      <c r="H23" t="s">
        <v>400</v>
      </c>
    </row>
    <row r="24" spans="1:16" x14ac:dyDescent="0.3">
      <c r="A24" s="126">
        <v>44281</v>
      </c>
      <c r="B24" s="127">
        <v>14507.2998046875</v>
      </c>
      <c r="C24" s="56">
        <f t="shared" si="0"/>
        <v>1.2733031929623273E-2</v>
      </c>
      <c r="D24" s="127">
        <v>2518.64282226562</v>
      </c>
      <c r="E24" s="56">
        <f t="shared" si="1"/>
        <v>3.673651696373792E-3</v>
      </c>
      <c r="H24" s="129"/>
      <c r="I24" s="129" t="s">
        <v>404</v>
      </c>
      <c r="J24" s="129" t="s">
        <v>405</v>
      </c>
      <c r="K24" s="129" t="s">
        <v>406</v>
      </c>
      <c r="L24" s="129" t="s">
        <v>407</v>
      </c>
      <c r="M24" s="129" t="s">
        <v>408</v>
      </c>
    </row>
    <row r="25" spans="1:16" x14ac:dyDescent="0.3">
      <c r="A25" s="126">
        <v>44285</v>
      </c>
      <c r="B25" s="127">
        <v>14845.099609375</v>
      </c>
      <c r="C25" s="56">
        <f t="shared" si="0"/>
        <v>2.328481586755049E-2</v>
      </c>
      <c r="D25" s="127">
        <v>2603.79931640625</v>
      </c>
      <c r="E25" s="56">
        <f t="shared" si="1"/>
        <v>3.3810468633272972E-2</v>
      </c>
      <c r="H25" t="s">
        <v>401</v>
      </c>
      <c r="I25">
        <v>1</v>
      </c>
      <c r="J25">
        <v>2.186959083046533E-2</v>
      </c>
      <c r="K25">
        <v>2.186959083046533E-2</v>
      </c>
      <c r="L25">
        <v>110.6012116976577</v>
      </c>
      <c r="M25">
        <v>7.8637019932710907E-25</v>
      </c>
    </row>
    <row r="26" spans="1:16" x14ac:dyDescent="0.3">
      <c r="A26" s="126">
        <v>44286</v>
      </c>
      <c r="B26" s="127">
        <v>14690.7001953125</v>
      </c>
      <c r="C26" s="56">
        <f t="shared" si="0"/>
        <v>-1.0400699094332388E-2</v>
      </c>
      <c r="D26" s="127">
        <v>2632.455078125</v>
      </c>
      <c r="E26" s="56">
        <f t="shared" si="1"/>
        <v>1.1005364944292495E-2</v>
      </c>
      <c r="H26" t="s">
        <v>402</v>
      </c>
      <c r="I26">
        <v>1232</v>
      </c>
      <c r="J26">
        <v>0.24360796314588559</v>
      </c>
      <c r="K26">
        <v>1.9773373631971233E-4</v>
      </c>
    </row>
    <row r="27" spans="1:16" ht="15" thickBot="1" x14ac:dyDescent="0.35">
      <c r="A27" s="126">
        <v>44287</v>
      </c>
      <c r="B27" s="127">
        <v>14867.349609375</v>
      </c>
      <c r="C27" s="56">
        <f t="shared" si="0"/>
        <v>1.2024574166918489E-2</v>
      </c>
      <c r="D27" s="127">
        <v>2637.82446289062</v>
      </c>
      <c r="E27" s="56">
        <f t="shared" si="1"/>
        <v>2.0396871385339743E-3</v>
      </c>
      <c r="H27" s="128" t="s">
        <v>248</v>
      </c>
      <c r="I27" s="128">
        <v>1233</v>
      </c>
      <c r="J27" s="128">
        <v>0.26547755397635092</v>
      </c>
      <c r="K27" s="128"/>
      <c r="L27" s="128"/>
      <c r="M27" s="128"/>
    </row>
    <row r="28" spans="1:16" ht="15" thickBot="1" x14ac:dyDescent="0.35">
      <c r="A28" s="126">
        <v>44291</v>
      </c>
      <c r="B28" s="127">
        <v>14637.7998046875</v>
      </c>
      <c r="C28" s="56">
        <f t="shared" si="0"/>
        <v>-1.5439860548026041E-2</v>
      </c>
      <c r="D28" s="127">
        <v>2573.19653320312</v>
      </c>
      <c r="E28" s="56">
        <f t="shared" si="1"/>
        <v>-2.4500466424774325E-2</v>
      </c>
    </row>
    <row r="29" spans="1:16" x14ac:dyDescent="0.3">
      <c r="A29" s="126">
        <v>44292</v>
      </c>
      <c r="B29" s="127">
        <v>14683.5</v>
      </c>
      <c r="C29" s="56">
        <f t="shared" si="0"/>
        <v>3.1220672452334508E-3</v>
      </c>
      <c r="D29" s="127">
        <v>2587.8330078125</v>
      </c>
      <c r="E29" s="56">
        <f t="shared" si="1"/>
        <v>5.6880515811827959E-3</v>
      </c>
      <c r="H29" s="129"/>
      <c r="I29" s="129" t="s">
        <v>409</v>
      </c>
      <c r="J29" s="129" t="s">
        <v>398</v>
      </c>
      <c r="K29" s="129" t="s">
        <v>410</v>
      </c>
      <c r="L29" s="129" t="s">
        <v>411</v>
      </c>
      <c r="M29" s="129" t="s">
        <v>412</v>
      </c>
      <c r="N29" s="129" t="s">
        <v>413</v>
      </c>
      <c r="O29" s="129" t="s">
        <v>414</v>
      </c>
      <c r="P29" s="129" t="s">
        <v>415</v>
      </c>
    </row>
    <row r="30" spans="1:16" x14ac:dyDescent="0.3">
      <c r="A30" s="126">
        <v>44293</v>
      </c>
      <c r="B30" s="127">
        <v>14819.0498046875</v>
      </c>
      <c r="C30" s="56">
        <f t="shared" si="0"/>
        <v>9.2314369658119677E-3</v>
      </c>
      <c r="D30" s="127">
        <v>2591.82495117187</v>
      </c>
      <c r="E30" s="56">
        <f t="shared" si="1"/>
        <v>1.542581514077046E-3</v>
      </c>
      <c r="H30" t="s">
        <v>403</v>
      </c>
      <c r="I30">
        <v>4.950554264932693E-4</v>
      </c>
      <c r="J30">
        <v>4.0095926165619074E-4</v>
      </c>
      <c r="K30">
        <v>1.2346776189890405</v>
      </c>
      <c r="L30">
        <v>0.21718594088129384</v>
      </c>
      <c r="M30">
        <v>-2.9158309681364509E-4</v>
      </c>
      <c r="N30">
        <v>1.2816939498001838E-3</v>
      </c>
      <c r="O30">
        <v>-2.9158309681364509E-4</v>
      </c>
      <c r="P30">
        <v>1.2816939498001838E-3</v>
      </c>
    </row>
    <row r="31" spans="1:16" ht="15" thickBot="1" x14ac:dyDescent="0.35">
      <c r="A31" s="126">
        <v>44294</v>
      </c>
      <c r="B31" s="127">
        <v>14873.7998046875</v>
      </c>
      <c r="C31" s="56">
        <f t="shared" si="0"/>
        <v>3.6945688638336804E-3</v>
      </c>
      <c r="D31" s="127">
        <v>2572.24609375</v>
      </c>
      <c r="E31" s="56">
        <f t="shared" si="1"/>
        <v>-7.5540816956090051E-3</v>
      </c>
      <c r="H31" s="128" t="s">
        <v>416</v>
      </c>
      <c r="I31" s="131">
        <v>0.49217341132129733</v>
      </c>
      <c r="J31" s="128">
        <v>4.6799175913173278E-2</v>
      </c>
      <c r="K31" s="128">
        <v>10.516711068469002</v>
      </c>
      <c r="L31" s="128">
        <v>7.8637019932680987E-25</v>
      </c>
      <c r="M31" s="128">
        <v>0.40035851102380537</v>
      </c>
      <c r="N31" s="128">
        <v>0.58398831161878928</v>
      </c>
      <c r="O31" s="128">
        <v>0.40035851102380537</v>
      </c>
      <c r="P31" s="128">
        <v>0.58398831161878928</v>
      </c>
    </row>
    <row r="32" spans="1:16" x14ac:dyDescent="0.3">
      <c r="A32" s="126">
        <v>44295</v>
      </c>
      <c r="B32" s="127">
        <v>14834.849609375</v>
      </c>
      <c r="C32" s="56">
        <f t="shared" si="0"/>
        <v>-2.6187118170183377E-3</v>
      </c>
      <c r="D32" s="127">
        <v>2691.85546875</v>
      </c>
      <c r="E32" s="56">
        <f t="shared" si="1"/>
        <v>4.649997342424772E-2</v>
      </c>
    </row>
    <row r="33" spans="1:5" x14ac:dyDescent="0.3">
      <c r="A33" s="126">
        <v>44298</v>
      </c>
      <c r="B33" s="127">
        <v>14310.7998046875</v>
      </c>
      <c r="C33" s="56">
        <f t="shared" si="0"/>
        <v>-3.5325589304007643E-2</v>
      </c>
      <c r="D33" s="127">
        <v>2609.4072265625</v>
      </c>
      <c r="E33" s="56">
        <f t="shared" si="1"/>
        <v>-3.0628777489969061E-2</v>
      </c>
    </row>
    <row r="34" spans="1:5" x14ac:dyDescent="0.3">
      <c r="A34" s="126">
        <v>44299</v>
      </c>
      <c r="B34" s="127">
        <v>14504.7998046875</v>
      </c>
      <c r="C34" s="56">
        <f t="shared" si="0"/>
        <v>1.3556195506029933E-2</v>
      </c>
      <c r="D34" s="127">
        <v>2615.2998046875</v>
      </c>
      <c r="E34" s="56">
        <f t="shared" si="1"/>
        <v>2.2582056434183873E-3</v>
      </c>
    </row>
    <row r="35" spans="1:5" x14ac:dyDescent="0.3">
      <c r="A35" s="126">
        <v>44301</v>
      </c>
      <c r="B35" s="127">
        <v>14581.4501953125</v>
      </c>
      <c r="C35" s="56">
        <f t="shared" si="0"/>
        <v>5.2844845607746826E-3</v>
      </c>
      <c r="D35" s="127">
        <v>2614.064453125</v>
      </c>
      <c r="E35" s="56">
        <f t="shared" si="1"/>
        <v>-4.723556206771562E-4</v>
      </c>
    </row>
    <row r="36" spans="1:5" x14ac:dyDescent="0.3">
      <c r="A36" s="126">
        <v>44302</v>
      </c>
      <c r="B36" s="127">
        <v>14617.849609375</v>
      </c>
      <c r="C36" s="56">
        <f t="shared" si="0"/>
        <v>2.4962821650071909E-3</v>
      </c>
      <c r="D36" s="127">
        <v>2652.41333007812</v>
      </c>
      <c r="E36" s="56">
        <f t="shared" si="1"/>
        <v>1.4670210945745943E-2</v>
      </c>
    </row>
    <row r="37" spans="1:5" x14ac:dyDescent="0.3">
      <c r="A37" s="126">
        <v>44305</v>
      </c>
      <c r="B37" s="127">
        <v>14359.4501953125</v>
      </c>
      <c r="C37" s="56">
        <f t="shared" si="0"/>
        <v>-1.7676978554819645E-2</v>
      </c>
      <c r="D37" s="127">
        <v>2612.78100585937</v>
      </c>
      <c r="E37" s="56">
        <f t="shared" si="1"/>
        <v>-1.4941986518210881E-2</v>
      </c>
    </row>
    <row r="38" spans="1:5" x14ac:dyDescent="0.3">
      <c r="A38" s="126">
        <v>44306</v>
      </c>
      <c r="B38" s="127">
        <v>14296.400390625</v>
      </c>
      <c r="C38" s="56">
        <f t="shared" si="0"/>
        <v>-4.3908230349990474E-3</v>
      </c>
      <c r="D38" s="127">
        <v>2604.75024414062</v>
      </c>
      <c r="E38" s="56">
        <f t="shared" si="1"/>
        <v>-3.0736451699321377E-3</v>
      </c>
    </row>
    <row r="39" spans="1:5" x14ac:dyDescent="0.3">
      <c r="A39" s="126">
        <v>44308</v>
      </c>
      <c r="B39" s="127">
        <v>14406.150390625</v>
      </c>
      <c r="C39" s="56">
        <f t="shared" si="0"/>
        <v>7.6767575754221884E-3</v>
      </c>
      <c r="D39" s="127">
        <v>2658.63891601562</v>
      </c>
      <c r="E39" s="56">
        <f t="shared" si="1"/>
        <v>2.0688613810948775E-2</v>
      </c>
    </row>
    <row r="40" spans="1:5" x14ac:dyDescent="0.3">
      <c r="A40" s="126">
        <v>44309</v>
      </c>
      <c r="B40" s="127">
        <v>14341.349609375</v>
      </c>
      <c r="C40" s="56">
        <f t="shared" si="0"/>
        <v>-4.4981330537942066E-3</v>
      </c>
      <c r="D40" s="127">
        <v>2640.67578125</v>
      </c>
      <c r="E40" s="56">
        <f t="shared" si="1"/>
        <v>-6.7565153949301626E-3</v>
      </c>
    </row>
    <row r="41" spans="1:5" x14ac:dyDescent="0.3">
      <c r="A41" s="126">
        <v>44312</v>
      </c>
      <c r="B41" s="127">
        <v>14485</v>
      </c>
      <c r="C41" s="56">
        <f t="shared" si="0"/>
        <v>1.0016518287169873E-2</v>
      </c>
      <c r="D41" s="127">
        <v>2659.1611328125</v>
      </c>
      <c r="E41" s="56">
        <f t="shared" si="1"/>
        <v>7.0002352025775316E-3</v>
      </c>
    </row>
    <row r="42" spans="1:5" x14ac:dyDescent="0.3">
      <c r="A42" s="126">
        <v>44313</v>
      </c>
      <c r="B42" s="127">
        <v>14653.0498046875</v>
      </c>
      <c r="C42" s="56">
        <f t="shared" si="0"/>
        <v>1.1601643402658013E-2</v>
      </c>
      <c r="D42" s="127">
        <v>2632.26513671875</v>
      </c>
      <c r="E42" s="56">
        <f t="shared" si="1"/>
        <v>-1.0114466461572769E-2</v>
      </c>
    </row>
    <row r="43" spans="1:5" x14ac:dyDescent="0.3">
      <c r="A43" s="126">
        <v>44314</v>
      </c>
      <c r="B43" s="127">
        <v>14864.5498046875</v>
      </c>
      <c r="C43" s="56">
        <f t="shared" si="0"/>
        <v>1.4433855260107098E-2</v>
      </c>
      <c r="D43" s="127">
        <v>2637.15966796875</v>
      </c>
      <c r="E43" s="56">
        <f t="shared" si="1"/>
        <v>1.8594370231646007E-3</v>
      </c>
    </row>
    <row r="44" spans="1:5" x14ac:dyDescent="0.3">
      <c r="A44" s="126">
        <v>44315</v>
      </c>
      <c r="B44" s="127">
        <v>14894.900390625</v>
      </c>
      <c r="C44" s="56">
        <f t="shared" si="0"/>
        <v>2.0418099664161193E-3</v>
      </c>
      <c r="D44" s="127">
        <v>2624.75634765625</v>
      </c>
      <c r="E44" s="56">
        <f t="shared" si="1"/>
        <v>-4.703287579873261E-3</v>
      </c>
    </row>
    <row r="45" spans="1:5" x14ac:dyDescent="0.3">
      <c r="A45" s="126">
        <v>44316</v>
      </c>
      <c r="B45" s="127">
        <v>14631.099609375</v>
      </c>
      <c r="C45" s="56">
        <f t="shared" si="0"/>
        <v>-1.7710812045177438E-2</v>
      </c>
      <c r="D45" s="127">
        <v>2622.23803710937</v>
      </c>
      <c r="E45" s="56">
        <f t="shared" si="1"/>
        <v>-9.5944545448145568E-4</v>
      </c>
    </row>
    <row r="46" spans="1:5" x14ac:dyDescent="0.3">
      <c r="A46" s="126">
        <v>44319</v>
      </c>
      <c r="B46" s="127">
        <v>14634.150390625</v>
      </c>
      <c r="C46" s="56">
        <f t="shared" si="0"/>
        <v>2.0851346320172048E-4</v>
      </c>
      <c r="D46" s="127">
        <v>2625.0419921875</v>
      </c>
      <c r="E46" s="56">
        <f t="shared" si="1"/>
        <v>1.0692984536297967E-3</v>
      </c>
    </row>
    <row r="47" spans="1:5" x14ac:dyDescent="0.3">
      <c r="A47" s="126">
        <v>44320</v>
      </c>
      <c r="B47" s="127">
        <v>14496.5</v>
      </c>
      <c r="C47" s="56">
        <f t="shared" si="0"/>
        <v>-9.4061074234402797E-3</v>
      </c>
      <c r="D47" s="127">
        <v>2659.8271484375</v>
      </c>
      <c r="E47" s="56">
        <f t="shared" si="1"/>
        <v>1.3251276114258692E-2</v>
      </c>
    </row>
    <row r="48" spans="1:5" x14ac:dyDescent="0.3">
      <c r="A48" s="126">
        <v>44321</v>
      </c>
      <c r="B48" s="127">
        <v>14617.849609375</v>
      </c>
      <c r="C48" s="56">
        <f t="shared" si="0"/>
        <v>8.3709591539335992E-3</v>
      </c>
      <c r="D48" s="127">
        <v>2750.923828125</v>
      </c>
      <c r="E48" s="56">
        <f t="shared" si="1"/>
        <v>3.424909763065398E-2</v>
      </c>
    </row>
    <row r="49" spans="1:5" x14ac:dyDescent="0.3">
      <c r="A49" s="126">
        <v>44322</v>
      </c>
      <c r="B49" s="127">
        <v>14724.7998046875</v>
      </c>
      <c r="C49" s="56">
        <f t="shared" si="0"/>
        <v>7.3164109749705997E-3</v>
      </c>
      <c r="D49" s="127">
        <v>2720.03564453125</v>
      </c>
      <c r="E49" s="56">
        <f t="shared" si="1"/>
        <v>-1.1228294756093993E-2</v>
      </c>
    </row>
    <row r="50" spans="1:5" x14ac:dyDescent="0.3">
      <c r="A50" s="126">
        <v>44323</v>
      </c>
      <c r="B50" s="127">
        <v>14823.150390625</v>
      </c>
      <c r="C50" s="56">
        <f t="shared" si="0"/>
        <v>6.6792477481554258E-3</v>
      </c>
      <c r="D50" s="127">
        <v>2763.279296875</v>
      </c>
      <c r="E50" s="56">
        <f t="shared" si="1"/>
        <v>1.5898193257390947E-2</v>
      </c>
    </row>
    <row r="51" spans="1:5" x14ac:dyDescent="0.3">
      <c r="A51" s="126">
        <v>44326</v>
      </c>
      <c r="B51" s="127">
        <v>14942.349609375</v>
      </c>
      <c r="C51" s="56">
        <f t="shared" si="0"/>
        <v>8.041422748121585E-3</v>
      </c>
      <c r="D51" s="127">
        <v>2880.9404296875</v>
      </c>
      <c r="E51" s="56">
        <f t="shared" si="1"/>
        <v>4.258025344942995E-2</v>
      </c>
    </row>
    <row r="52" spans="1:5" x14ac:dyDescent="0.3">
      <c r="A52" s="126">
        <v>44327</v>
      </c>
      <c r="B52" s="127">
        <v>14850.75</v>
      </c>
      <c r="C52" s="56">
        <f t="shared" si="0"/>
        <v>-6.1302011912188759E-3</v>
      </c>
      <c r="D52" s="127">
        <v>2888.82885742187</v>
      </c>
      <c r="E52" s="56">
        <f t="shared" si="1"/>
        <v>2.7381432996953503E-3</v>
      </c>
    </row>
    <row r="53" spans="1:5" x14ac:dyDescent="0.3">
      <c r="A53" s="126">
        <v>44328</v>
      </c>
      <c r="B53" s="127">
        <v>14696.5</v>
      </c>
      <c r="C53" s="56">
        <f t="shared" si="0"/>
        <v>-1.0386680807366599E-2</v>
      </c>
      <c r="D53" s="127">
        <v>2854.66162109375</v>
      </c>
      <c r="E53" s="56">
        <f t="shared" si="1"/>
        <v>-1.1827366041549658E-2</v>
      </c>
    </row>
    <row r="54" spans="1:5" x14ac:dyDescent="0.3">
      <c r="A54" s="126">
        <v>44330</v>
      </c>
      <c r="B54" s="127">
        <v>14677.7998046875</v>
      </c>
      <c r="C54" s="56">
        <f t="shared" si="0"/>
        <v>-1.2724250884564858E-3</v>
      </c>
      <c r="D54" s="127">
        <v>2844.68212890625</v>
      </c>
      <c r="E54" s="56">
        <f t="shared" si="1"/>
        <v>-3.4958581828961055E-3</v>
      </c>
    </row>
    <row r="55" spans="1:5" x14ac:dyDescent="0.3">
      <c r="A55" s="126">
        <v>44333</v>
      </c>
      <c r="B55" s="127">
        <v>14923.150390625</v>
      </c>
      <c r="C55" s="56">
        <f t="shared" si="0"/>
        <v>1.6715760481972541E-2</v>
      </c>
      <c r="D55" s="127">
        <v>2831.99365234375</v>
      </c>
      <c r="E55" s="56">
        <f t="shared" si="1"/>
        <v>-4.4604198246145366E-3</v>
      </c>
    </row>
    <row r="56" spans="1:5" x14ac:dyDescent="0.3">
      <c r="A56" s="126">
        <v>44334</v>
      </c>
      <c r="B56" s="127">
        <v>15108.099609375</v>
      </c>
      <c r="C56" s="56">
        <f t="shared" si="0"/>
        <v>1.2393443335275034E-2</v>
      </c>
      <c r="D56" s="127">
        <v>2803.19677734375</v>
      </c>
      <c r="E56" s="56">
        <f t="shared" si="1"/>
        <v>-1.0168410856489007E-2</v>
      </c>
    </row>
    <row r="57" spans="1:5" x14ac:dyDescent="0.3">
      <c r="A57" s="126">
        <v>44335</v>
      </c>
      <c r="B57" s="127">
        <v>15030.150390625</v>
      </c>
      <c r="C57" s="56">
        <f t="shared" si="0"/>
        <v>-5.1594324081388754E-3</v>
      </c>
      <c r="D57" s="127">
        <v>2826.00634765625</v>
      </c>
      <c r="E57" s="56">
        <f t="shared" si="1"/>
        <v>8.1369850653558728E-3</v>
      </c>
    </row>
    <row r="58" spans="1:5" x14ac:dyDescent="0.3">
      <c r="A58" s="126">
        <v>44336</v>
      </c>
      <c r="B58" s="127">
        <v>14906.0498046875</v>
      </c>
      <c r="C58" s="56">
        <f t="shared" si="0"/>
        <v>-8.2567760609306706E-3</v>
      </c>
      <c r="D58" s="127">
        <v>2842.068359375</v>
      </c>
      <c r="E58" s="56">
        <f t="shared" si="1"/>
        <v>5.6836431850448843E-3</v>
      </c>
    </row>
    <row r="59" spans="1:5" x14ac:dyDescent="0.3">
      <c r="A59" s="126">
        <v>44337</v>
      </c>
      <c r="B59" s="127">
        <v>15175.2998046875</v>
      </c>
      <c r="C59" s="56">
        <f t="shared" si="0"/>
        <v>1.8063135674974751E-2</v>
      </c>
      <c r="D59" s="127">
        <v>2854.56640625</v>
      </c>
      <c r="E59" s="56">
        <f t="shared" si="1"/>
        <v>4.3975180377957557E-3</v>
      </c>
    </row>
    <row r="60" spans="1:5" x14ac:dyDescent="0.3">
      <c r="A60" s="126">
        <v>44340</v>
      </c>
      <c r="B60" s="127">
        <v>15197.7001953125</v>
      </c>
      <c r="C60" s="56">
        <f t="shared" si="0"/>
        <v>1.476108604989923E-3</v>
      </c>
      <c r="D60" s="127">
        <v>2847.58056640625</v>
      </c>
      <c r="E60" s="56">
        <f t="shared" si="1"/>
        <v>-2.4472507728160453E-3</v>
      </c>
    </row>
    <row r="61" spans="1:5" x14ac:dyDescent="0.3">
      <c r="A61" s="126">
        <v>44341</v>
      </c>
      <c r="B61" s="127">
        <v>15208.4501953125</v>
      </c>
      <c r="C61" s="56">
        <f t="shared" si="0"/>
        <v>7.0734386531157156E-4</v>
      </c>
      <c r="D61" s="127">
        <v>2760.95043945312</v>
      </c>
      <c r="E61" s="56">
        <f t="shared" si="1"/>
        <v>-3.0422362048375784E-2</v>
      </c>
    </row>
    <row r="62" spans="1:5" x14ac:dyDescent="0.3">
      <c r="A62" s="126">
        <v>44342</v>
      </c>
      <c r="B62" s="127">
        <v>15301.4501953125</v>
      </c>
      <c r="C62" s="56">
        <f t="shared" si="0"/>
        <v>6.1150215048646483E-3</v>
      </c>
      <c r="D62" s="127">
        <v>2790.03344726562</v>
      </c>
      <c r="E62" s="56">
        <f t="shared" si="1"/>
        <v>1.0533694265899562E-2</v>
      </c>
    </row>
    <row r="63" spans="1:5" x14ac:dyDescent="0.3">
      <c r="A63" s="126">
        <v>44343</v>
      </c>
      <c r="B63" s="127">
        <v>15337.849609375</v>
      </c>
      <c r="C63" s="56">
        <f t="shared" si="0"/>
        <v>2.3788211965458661E-3</v>
      </c>
      <c r="D63" s="127">
        <v>2788.89233398437</v>
      </c>
      <c r="E63" s="56">
        <f t="shared" si="1"/>
        <v>-4.0899627291868246E-4</v>
      </c>
    </row>
    <row r="64" spans="1:5" x14ac:dyDescent="0.3">
      <c r="A64" s="126">
        <v>44344</v>
      </c>
      <c r="B64" s="127">
        <v>15435.650390625</v>
      </c>
      <c r="C64" s="56">
        <f t="shared" si="0"/>
        <v>6.376433707514062E-3</v>
      </c>
      <c r="D64" s="127">
        <v>2810.65771484375</v>
      </c>
      <c r="E64" s="56">
        <f t="shared" si="1"/>
        <v>7.8043101894451627E-3</v>
      </c>
    </row>
    <row r="65" spans="1:5" x14ac:dyDescent="0.3">
      <c r="A65" s="126">
        <v>44347</v>
      </c>
      <c r="B65" s="127">
        <v>15582.7998046875</v>
      </c>
      <c r="C65" s="56">
        <f t="shared" si="0"/>
        <v>9.5330880357249459E-3</v>
      </c>
      <c r="D65" s="127">
        <v>2840.97534179687</v>
      </c>
      <c r="E65" s="56">
        <f t="shared" si="1"/>
        <v>1.0786666335429462E-2</v>
      </c>
    </row>
    <row r="66" spans="1:5" x14ac:dyDescent="0.3">
      <c r="A66" s="126">
        <v>44348</v>
      </c>
      <c r="B66" s="127">
        <v>15574.849609375</v>
      </c>
      <c r="C66" s="56">
        <f t="shared" si="0"/>
        <v>-5.101904286871628E-4</v>
      </c>
      <c r="D66" s="127">
        <v>2947.94458007812</v>
      </c>
      <c r="E66" s="56">
        <f t="shared" si="1"/>
        <v>3.7652293811742066E-2</v>
      </c>
    </row>
    <row r="67" spans="1:5" x14ac:dyDescent="0.3">
      <c r="A67" s="126">
        <v>44349</v>
      </c>
      <c r="B67" s="127">
        <v>15576.2001953125</v>
      </c>
      <c r="C67" s="56">
        <f t="shared" si="0"/>
        <v>8.6715825280636594E-5</v>
      </c>
      <c r="D67" s="127">
        <v>2999.31469726562</v>
      </c>
      <c r="E67" s="56">
        <f t="shared" si="1"/>
        <v>1.742574047512746E-2</v>
      </c>
    </row>
    <row r="68" spans="1:5" x14ac:dyDescent="0.3">
      <c r="A68" s="126">
        <v>44350</v>
      </c>
      <c r="B68" s="127">
        <v>15690.349609375</v>
      </c>
      <c r="C68" s="56">
        <f t="shared" si="0"/>
        <v>7.3284506253876724E-3</v>
      </c>
      <c r="D68" s="127">
        <v>3020.84106445312</v>
      </c>
      <c r="E68" s="56">
        <f t="shared" si="1"/>
        <v>7.1770952234937457E-3</v>
      </c>
    </row>
    <row r="69" spans="1:5" x14ac:dyDescent="0.3">
      <c r="A69" s="126">
        <v>44351</v>
      </c>
      <c r="B69" s="127">
        <v>15670.25</v>
      </c>
      <c r="C69" s="56">
        <f t="shared" si="0"/>
        <v>-1.281017305247989E-3</v>
      </c>
      <c r="D69" s="127">
        <v>3008.0107421875</v>
      </c>
      <c r="E69" s="56">
        <f t="shared" si="1"/>
        <v>-4.2472682249314886E-3</v>
      </c>
    </row>
    <row r="70" spans="1:5" x14ac:dyDescent="0.3">
      <c r="A70" s="126">
        <v>44354</v>
      </c>
      <c r="B70" s="127">
        <v>15751.650390625</v>
      </c>
      <c r="C70" s="56">
        <f t="shared" si="0"/>
        <v>5.1945814919991395E-3</v>
      </c>
      <c r="D70" s="127">
        <v>2984.72534179687</v>
      </c>
      <c r="E70" s="56">
        <f t="shared" si="1"/>
        <v>-7.74112939958993E-3</v>
      </c>
    </row>
    <row r="71" spans="1:5" x14ac:dyDescent="0.3">
      <c r="A71" s="126">
        <v>44355</v>
      </c>
      <c r="B71" s="127">
        <v>15740.099609375</v>
      </c>
      <c r="C71" s="56">
        <f t="shared" ref="C71:C134" si="2">B71/B70-1</f>
        <v>-7.3330609577737516E-4</v>
      </c>
      <c r="D71" s="127">
        <v>3018.36987304687</v>
      </c>
      <c r="E71" s="56">
        <f t="shared" ref="E71:E134" si="3">D71/D70-1</f>
        <v>1.12722369388083E-2</v>
      </c>
    </row>
    <row r="72" spans="1:5" x14ac:dyDescent="0.3">
      <c r="A72" s="126">
        <v>44356</v>
      </c>
      <c r="B72" s="127">
        <v>15635.349609375</v>
      </c>
      <c r="C72" s="56">
        <f t="shared" si="2"/>
        <v>-6.6549769442125761E-3</v>
      </c>
      <c r="D72" s="127">
        <v>2947.279296875</v>
      </c>
      <c r="E72" s="56">
        <f t="shared" si="3"/>
        <v>-2.3552639060801406E-2</v>
      </c>
    </row>
    <row r="73" spans="1:5" x14ac:dyDescent="0.3">
      <c r="A73" s="126">
        <v>44357</v>
      </c>
      <c r="B73" s="127">
        <v>15737.75</v>
      </c>
      <c r="C73" s="56">
        <f t="shared" si="2"/>
        <v>6.5492869160790335E-3</v>
      </c>
      <c r="D73" s="127">
        <v>2975.98168945312</v>
      </c>
      <c r="E73" s="56">
        <f t="shared" si="3"/>
        <v>9.7386062490083525E-3</v>
      </c>
    </row>
    <row r="74" spans="1:5" x14ac:dyDescent="0.3">
      <c r="A74" s="126">
        <v>44358</v>
      </c>
      <c r="B74" s="127">
        <v>15799.349609375</v>
      </c>
      <c r="C74" s="56">
        <f t="shared" si="2"/>
        <v>3.9141306333496662E-3</v>
      </c>
      <c r="D74" s="127">
        <v>3038.70922851562</v>
      </c>
      <c r="E74" s="56">
        <f t="shared" si="3"/>
        <v>2.1077931791316562E-2</v>
      </c>
    </row>
    <row r="75" spans="1:5" x14ac:dyDescent="0.3">
      <c r="A75" s="126">
        <v>44361</v>
      </c>
      <c r="B75" s="127">
        <v>15811.849609375</v>
      </c>
      <c r="C75" s="56">
        <f t="shared" si="2"/>
        <v>7.9117180827381617E-4</v>
      </c>
      <c r="D75" s="127">
        <v>3063.6572265625</v>
      </c>
      <c r="E75" s="56">
        <f t="shared" si="3"/>
        <v>8.2100642643807564E-3</v>
      </c>
    </row>
    <row r="76" spans="1:5" x14ac:dyDescent="0.3">
      <c r="A76" s="126">
        <v>44362</v>
      </c>
      <c r="B76" s="127">
        <v>15869.25</v>
      </c>
      <c r="C76" s="56">
        <f t="shared" si="2"/>
        <v>3.6302135450976269E-3</v>
      </c>
      <c r="D76" s="127">
        <v>3027.921875</v>
      </c>
      <c r="E76" s="56">
        <f t="shared" si="3"/>
        <v>-1.1664278644708537E-2</v>
      </c>
    </row>
    <row r="77" spans="1:5" x14ac:dyDescent="0.3">
      <c r="A77" s="126">
        <v>44363</v>
      </c>
      <c r="B77" s="127">
        <v>15767.5498046875</v>
      </c>
      <c r="C77" s="56">
        <f t="shared" si="2"/>
        <v>-6.4086327528081188E-3</v>
      </c>
      <c r="D77" s="127">
        <v>3025.92578125</v>
      </c>
      <c r="E77" s="56">
        <f t="shared" si="3"/>
        <v>-6.592289472462376E-4</v>
      </c>
    </row>
    <row r="78" spans="1:5" x14ac:dyDescent="0.3">
      <c r="A78" s="126">
        <v>44364</v>
      </c>
      <c r="B78" s="127">
        <v>15691.400390625</v>
      </c>
      <c r="C78" s="56">
        <f t="shared" si="2"/>
        <v>-4.8295020472909345E-3</v>
      </c>
      <c r="D78" s="127">
        <v>3010.24438476562</v>
      </c>
      <c r="E78" s="56">
        <f t="shared" si="3"/>
        <v>-5.1823466991652856E-3</v>
      </c>
    </row>
    <row r="79" spans="1:5" x14ac:dyDescent="0.3">
      <c r="A79" s="126">
        <v>44365</v>
      </c>
      <c r="B79" s="127">
        <v>15683.349609375</v>
      </c>
      <c r="C79" s="56">
        <f t="shared" si="2"/>
        <v>-5.13069646403852E-4</v>
      </c>
      <c r="D79" s="127">
        <v>2986.388671875</v>
      </c>
      <c r="E79" s="56">
        <f t="shared" si="3"/>
        <v>-7.9248425846586423E-3</v>
      </c>
    </row>
    <row r="80" spans="1:5" x14ac:dyDescent="0.3">
      <c r="A80" s="126">
        <v>44368</v>
      </c>
      <c r="B80" s="127">
        <v>15746.5</v>
      </c>
      <c r="C80" s="56">
        <f t="shared" si="2"/>
        <v>4.0265882096546246E-3</v>
      </c>
      <c r="D80" s="127">
        <v>2971.70483398437</v>
      </c>
      <c r="E80" s="56">
        <f t="shared" si="3"/>
        <v>-4.9169212396625861E-3</v>
      </c>
    </row>
    <row r="81" spans="1:5" x14ac:dyDescent="0.3">
      <c r="A81" s="126">
        <v>44369</v>
      </c>
      <c r="B81" s="127">
        <v>15772.75</v>
      </c>
      <c r="C81" s="56">
        <f t="shared" si="2"/>
        <v>1.6670371193598932E-3</v>
      </c>
      <c r="D81" s="127">
        <v>2993.65942382812</v>
      </c>
      <c r="E81" s="56">
        <f t="shared" si="3"/>
        <v>7.3878770168145369E-3</v>
      </c>
    </row>
    <row r="82" spans="1:5" x14ac:dyDescent="0.3">
      <c r="A82" s="126">
        <v>44370</v>
      </c>
      <c r="B82" s="127">
        <v>15686.9501953125</v>
      </c>
      <c r="C82" s="56">
        <f t="shared" si="2"/>
        <v>-5.4397492312691087E-3</v>
      </c>
      <c r="D82" s="127">
        <v>2955.73803710937</v>
      </c>
      <c r="E82" s="56">
        <f t="shared" si="3"/>
        <v>-1.2667234761881585E-2</v>
      </c>
    </row>
    <row r="83" spans="1:5" x14ac:dyDescent="0.3">
      <c r="A83" s="126">
        <v>44371</v>
      </c>
      <c r="B83" s="127">
        <v>15790.4501953125</v>
      </c>
      <c r="C83" s="56">
        <f t="shared" si="2"/>
        <v>6.5978407983298126E-3</v>
      </c>
      <c r="D83" s="127">
        <v>2940.62670898437</v>
      </c>
      <c r="E83" s="56">
        <f t="shared" si="3"/>
        <v>-5.1125397228295455E-3</v>
      </c>
    </row>
    <row r="84" spans="1:5" x14ac:dyDescent="0.3">
      <c r="A84" s="126">
        <v>44372</v>
      </c>
      <c r="B84" s="127">
        <v>15860.349609375</v>
      </c>
      <c r="C84" s="56">
        <f t="shared" si="2"/>
        <v>4.4266891189239654E-3</v>
      </c>
      <c r="D84" s="127">
        <v>2986.24584960937</v>
      </c>
      <c r="E84" s="56">
        <f t="shared" si="3"/>
        <v>1.5513407562279813E-2</v>
      </c>
    </row>
    <row r="85" spans="1:5" x14ac:dyDescent="0.3">
      <c r="A85" s="126">
        <v>44375</v>
      </c>
      <c r="B85" s="127">
        <v>15814.7001953125</v>
      </c>
      <c r="C85" s="56">
        <f t="shared" si="2"/>
        <v>-2.8782098242977616E-3</v>
      </c>
      <c r="D85" s="127">
        <v>2974.88842773437</v>
      </c>
      <c r="E85" s="56">
        <f t="shared" si="3"/>
        <v>-3.8032440887229013E-3</v>
      </c>
    </row>
    <row r="86" spans="1:5" x14ac:dyDescent="0.3">
      <c r="A86" s="126">
        <v>44376</v>
      </c>
      <c r="B86" s="127">
        <v>15748.4501953125</v>
      </c>
      <c r="C86" s="56">
        <f t="shared" si="2"/>
        <v>-4.1891404314852165E-3</v>
      </c>
      <c r="D86" s="127">
        <v>3037.28344726562</v>
      </c>
      <c r="E86" s="56">
        <f t="shared" si="3"/>
        <v>2.0973902399011646E-2</v>
      </c>
    </row>
    <row r="87" spans="1:5" x14ac:dyDescent="0.3">
      <c r="A87" s="126">
        <v>44377</v>
      </c>
      <c r="B87" s="127">
        <v>15721.5</v>
      </c>
      <c r="C87" s="56">
        <f t="shared" si="2"/>
        <v>-1.7112919035373597E-3</v>
      </c>
      <c r="D87" s="127">
        <v>3040.70458984375</v>
      </c>
      <c r="E87" s="56">
        <f t="shared" si="3"/>
        <v>1.1263823866061173E-3</v>
      </c>
    </row>
    <row r="88" spans="1:5" x14ac:dyDescent="0.3">
      <c r="A88" s="126">
        <v>44378</v>
      </c>
      <c r="B88" s="127">
        <v>15680</v>
      </c>
      <c r="C88" s="56">
        <f t="shared" si="2"/>
        <v>-2.639697229908089E-3</v>
      </c>
      <c r="D88" s="127">
        <v>3059.85571289062</v>
      </c>
      <c r="E88" s="56">
        <f t="shared" si="3"/>
        <v>6.2982517640275404E-3</v>
      </c>
    </row>
    <row r="89" spans="1:5" x14ac:dyDescent="0.3">
      <c r="A89" s="126">
        <v>44379</v>
      </c>
      <c r="B89" s="127">
        <v>15722.2001953125</v>
      </c>
      <c r="C89" s="56">
        <f t="shared" si="2"/>
        <v>2.6913389867666559E-3</v>
      </c>
      <c r="D89" s="127">
        <v>3036.09521484375</v>
      </c>
      <c r="E89" s="56">
        <f t="shared" si="3"/>
        <v>-7.7652347941673527E-3</v>
      </c>
    </row>
    <row r="90" spans="1:5" x14ac:dyDescent="0.3">
      <c r="A90" s="126">
        <v>44382</v>
      </c>
      <c r="B90" s="127">
        <v>15834.349609375</v>
      </c>
      <c r="C90" s="56">
        <f t="shared" si="2"/>
        <v>7.1331882732250662E-3</v>
      </c>
      <c r="D90" s="127">
        <v>3086.75244140625</v>
      </c>
      <c r="E90" s="56">
        <f t="shared" si="3"/>
        <v>1.6684992721846204E-2</v>
      </c>
    </row>
    <row r="91" spans="1:5" x14ac:dyDescent="0.3">
      <c r="A91" s="126">
        <v>44383</v>
      </c>
      <c r="B91" s="127">
        <v>15818.25</v>
      </c>
      <c r="C91" s="56">
        <f t="shared" si="2"/>
        <v>-1.0167521731027085E-3</v>
      </c>
      <c r="D91" s="127">
        <v>3150.81030273437</v>
      </c>
      <c r="E91" s="56">
        <f t="shared" si="3"/>
        <v>2.0752510136166524E-2</v>
      </c>
    </row>
    <row r="92" spans="1:5" x14ac:dyDescent="0.3">
      <c r="A92" s="126">
        <v>44384</v>
      </c>
      <c r="B92" s="127">
        <v>15879.650390625</v>
      </c>
      <c r="C92" s="56">
        <f t="shared" si="2"/>
        <v>3.8816171589777237E-3</v>
      </c>
      <c r="D92" s="127">
        <v>3148.71923828125</v>
      </c>
      <c r="E92" s="56">
        <f t="shared" si="3"/>
        <v>-6.636592660959062E-4</v>
      </c>
    </row>
    <row r="93" spans="1:5" x14ac:dyDescent="0.3">
      <c r="A93" s="126">
        <v>44385</v>
      </c>
      <c r="B93" s="127">
        <v>15727.900390625</v>
      </c>
      <c r="C93" s="56">
        <f t="shared" si="2"/>
        <v>-9.5562557277450999E-3</v>
      </c>
      <c r="D93" s="127">
        <v>3159.98217773437</v>
      </c>
      <c r="E93" s="56">
        <f t="shared" si="3"/>
        <v>3.5769907066303119E-3</v>
      </c>
    </row>
    <row r="94" spans="1:5" x14ac:dyDescent="0.3">
      <c r="A94" s="126">
        <v>44386</v>
      </c>
      <c r="B94" s="127">
        <v>15689.7998046875</v>
      </c>
      <c r="C94" s="56">
        <f t="shared" si="2"/>
        <v>-2.4224839292732447E-3</v>
      </c>
      <c r="D94" s="127">
        <v>3184.5498046875</v>
      </c>
      <c r="E94" s="56">
        <f t="shared" si="3"/>
        <v>7.7746093399628791E-3</v>
      </c>
    </row>
    <row r="95" spans="1:5" x14ac:dyDescent="0.3">
      <c r="A95" s="126">
        <v>44389</v>
      </c>
      <c r="B95" s="127">
        <v>15692.599609375</v>
      </c>
      <c r="C95" s="56">
        <f t="shared" si="2"/>
        <v>1.7844744498685117E-4</v>
      </c>
      <c r="D95" s="127">
        <v>3187.35375976562</v>
      </c>
      <c r="E95" s="56">
        <f t="shared" si="3"/>
        <v>8.8048711751742559E-4</v>
      </c>
    </row>
    <row r="96" spans="1:5" x14ac:dyDescent="0.3">
      <c r="A96" s="126">
        <v>44390</v>
      </c>
      <c r="B96" s="127">
        <v>15812.349609375</v>
      </c>
      <c r="C96" s="56">
        <f t="shared" si="2"/>
        <v>7.6309854951284173E-3</v>
      </c>
      <c r="D96" s="127">
        <v>3186.49829101562</v>
      </c>
      <c r="E96" s="56">
        <f t="shared" si="3"/>
        <v>-2.6839466669770218E-4</v>
      </c>
    </row>
    <row r="97" spans="1:5" x14ac:dyDescent="0.3">
      <c r="A97" s="126">
        <v>44391</v>
      </c>
      <c r="B97" s="127">
        <v>15853.9501953125</v>
      </c>
      <c r="C97" s="56">
        <f t="shared" si="2"/>
        <v>2.6308921169333477E-3</v>
      </c>
      <c r="D97" s="127">
        <v>3153.56640625</v>
      </c>
      <c r="E97" s="56">
        <f t="shared" si="3"/>
        <v>-1.0334819528531325E-2</v>
      </c>
    </row>
    <row r="98" spans="1:5" x14ac:dyDescent="0.3">
      <c r="A98" s="126">
        <v>44392</v>
      </c>
      <c r="B98" s="127">
        <v>15924.2001953125</v>
      </c>
      <c r="C98" s="56">
        <f t="shared" si="2"/>
        <v>4.4310723280038822E-3</v>
      </c>
      <c r="D98" s="127">
        <v>3166.44458007812</v>
      </c>
      <c r="E98" s="56">
        <f t="shared" si="3"/>
        <v>4.0836856336994298E-3</v>
      </c>
    </row>
    <row r="99" spans="1:5" x14ac:dyDescent="0.3">
      <c r="A99" s="126">
        <v>44393</v>
      </c>
      <c r="B99" s="127">
        <v>15923.400390625</v>
      </c>
      <c r="C99" s="56">
        <f t="shared" si="2"/>
        <v>-5.0225736783704455E-5</v>
      </c>
      <c r="D99" s="127">
        <v>3184.97729492187</v>
      </c>
      <c r="E99" s="56">
        <f t="shared" si="3"/>
        <v>5.8528467418472729E-3</v>
      </c>
    </row>
    <row r="100" spans="1:5" x14ac:dyDescent="0.3">
      <c r="A100" s="126">
        <v>44396</v>
      </c>
      <c r="B100" s="127">
        <v>15752.400390625</v>
      </c>
      <c r="C100" s="56">
        <f t="shared" si="2"/>
        <v>-1.0738912280361723E-2</v>
      </c>
      <c r="D100" s="127">
        <v>3277.68994140625</v>
      </c>
      <c r="E100" s="56">
        <f t="shared" si="3"/>
        <v>2.9109358685916353E-2</v>
      </c>
    </row>
    <row r="101" spans="1:5" x14ac:dyDescent="0.3">
      <c r="A101" s="126">
        <v>44397</v>
      </c>
      <c r="B101" s="127">
        <v>15632.099609375</v>
      </c>
      <c r="C101" s="56">
        <f t="shared" si="2"/>
        <v>-7.6369809214344997E-3</v>
      </c>
      <c r="D101" s="127">
        <v>3227.31860351562</v>
      </c>
      <c r="E101" s="56">
        <f t="shared" si="3"/>
        <v>-1.5367938636995926E-2</v>
      </c>
    </row>
    <row r="102" spans="1:5" x14ac:dyDescent="0.3">
      <c r="A102" s="126">
        <v>44399</v>
      </c>
      <c r="B102" s="127">
        <v>15824.0498046875</v>
      </c>
      <c r="C102" s="56">
        <f t="shared" si="2"/>
        <v>1.2279233123449584E-2</v>
      </c>
      <c r="D102" s="127">
        <v>3201.13452148437</v>
      </c>
      <c r="E102" s="56">
        <f t="shared" si="3"/>
        <v>-8.1132621993771359E-3</v>
      </c>
    </row>
    <row r="103" spans="1:5" x14ac:dyDescent="0.3">
      <c r="A103" s="126">
        <v>44400</v>
      </c>
      <c r="B103" s="127">
        <v>15856.0498046875</v>
      </c>
      <c r="C103" s="56">
        <f t="shared" si="2"/>
        <v>2.0222383267853861E-3</v>
      </c>
      <c r="D103" s="127">
        <v>3226.3681640625</v>
      </c>
      <c r="E103" s="56">
        <f t="shared" si="3"/>
        <v>7.8827185826695345E-3</v>
      </c>
    </row>
    <row r="104" spans="1:5" x14ac:dyDescent="0.3">
      <c r="A104" s="126">
        <v>44403</v>
      </c>
      <c r="B104" s="127">
        <v>15824.4501953125</v>
      </c>
      <c r="C104" s="56">
        <f t="shared" si="2"/>
        <v>-1.9929055322251976E-3</v>
      </c>
      <c r="D104" s="127">
        <v>3257.44653320312</v>
      </c>
      <c r="E104" s="56">
        <f t="shared" si="3"/>
        <v>9.6326170976990255E-3</v>
      </c>
    </row>
    <row r="105" spans="1:5" x14ac:dyDescent="0.3">
      <c r="A105" s="126">
        <v>44404</v>
      </c>
      <c r="B105" s="127">
        <v>15746.4501953125</v>
      </c>
      <c r="C105" s="56">
        <f t="shared" si="2"/>
        <v>-4.9290812026508979E-3</v>
      </c>
      <c r="D105" s="127">
        <v>3216.24609375</v>
      </c>
      <c r="E105" s="56">
        <f t="shared" si="3"/>
        <v>-1.2648078497425663E-2</v>
      </c>
    </row>
    <row r="106" spans="1:5" x14ac:dyDescent="0.3">
      <c r="A106" s="126">
        <v>44405</v>
      </c>
      <c r="B106" s="127">
        <v>15709.400390625</v>
      </c>
      <c r="C106" s="56">
        <f t="shared" si="2"/>
        <v>-2.3528988583426669E-3</v>
      </c>
      <c r="D106" s="127">
        <v>3203.55786132812</v>
      </c>
      <c r="E106" s="56">
        <f t="shared" si="3"/>
        <v>-3.9450440208964599E-3</v>
      </c>
    </row>
    <row r="107" spans="1:5" x14ac:dyDescent="0.3">
      <c r="A107" s="126">
        <v>44406</v>
      </c>
      <c r="B107" s="127">
        <v>15778.4501953125</v>
      </c>
      <c r="C107" s="56">
        <f t="shared" si="2"/>
        <v>4.3954449546468322E-3</v>
      </c>
      <c r="D107" s="127">
        <v>3166.44458007812</v>
      </c>
      <c r="E107" s="56">
        <f t="shared" si="3"/>
        <v>-1.1585019798772689E-2</v>
      </c>
    </row>
    <row r="108" spans="1:5" x14ac:dyDescent="0.3">
      <c r="A108" s="126">
        <v>44407</v>
      </c>
      <c r="B108" s="127">
        <v>15763.0498046875</v>
      </c>
      <c r="C108" s="56">
        <f t="shared" si="2"/>
        <v>-9.7603949908686705E-4</v>
      </c>
      <c r="D108" s="127">
        <v>3282.34741210937</v>
      </c>
      <c r="E108" s="56">
        <f t="shared" si="3"/>
        <v>3.6603461421829353E-2</v>
      </c>
    </row>
    <row r="109" spans="1:5" x14ac:dyDescent="0.3">
      <c r="A109" s="126">
        <v>44410</v>
      </c>
      <c r="B109" s="127">
        <v>15885.150390625</v>
      </c>
      <c r="C109" s="56">
        <f t="shared" si="2"/>
        <v>7.746000136419795E-3</v>
      </c>
      <c r="D109" s="127">
        <v>3309.71923828125</v>
      </c>
      <c r="E109" s="56">
        <f t="shared" si="3"/>
        <v>8.339100873630434E-3</v>
      </c>
    </row>
    <row r="110" spans="1:5" x14ac:dyDescent="0.3">
      <c r="A110" s="126">
        <v>44411</v>
      </c>
      <c r="B110" s="127">
        <v>16130.75</v>
      </c>
      <c r="C110" s="56">
        <f t="shared" si="2"/>
        <v>1.5460955882416139E-2</v>
      </c>
      <c r="D110" s="127">
        <v>3333.14721679687</v>
      </c>
      <c r="E110" s="56">
        <f t="shared" si="3"/>
        <v>7.078539546389484E-3</v>
      </c>
    </row>
    <row r="111" spans="1:5" x14ac:dyDescent="0.3">
      <c r="A111" s="126">
        <v>44412</v>
      </c>
      <c r="B111" s="127">
        <v>16258.7998046875</v>
      </c>
      <c r="C111" s="56">
        <f t="shared" si="2"/>
        <v>7.9382424678022812E-3</v>
      </c>
      <c r="D111" s="127">
        <v>3230.02709960937</v>
      </c>
      <c r="E111" s="56">
        <f t="shared" si="3"/>
        <v>-3.0937762565014348E-2</v>
      </c>
    </row>
    <row r="112" spans="1:5" x14ac:dyDescent="0.3">
      <c r="A112" s="126">
        <v>44413</v>
      </c>
      <c r="B112" s="127">
        <v>16294.599609375</v>
      </c>
      <c r="C112" s="56">
        <f t="shared" si="2"/>
        <v>2.2018725316477195E-3</v>
      </c>
      <c r="D112" s="127">
        <v>3231.11962890625</v>
      </c>
      <c r="E112" s="56">
        <f t="shared" si="3"/>
        <v>3.3824152652228712E-4</v>
      </c>
    </row>
    <row r="113" spans="1:5" x14ac:dyDescent="0.3">
      <c r="A113" s="126">
        <v>44414</v>
      </c>
      <c r="B113" s="127">
        <v>16238.2001953125</v>
      </c>
      <c r="C113" s="56">
        <f t="shared" si="2"/>
        <v>-3.461233501561467E-3</v>
      </c>
      <c r="D113" s="127">
        <v>3299.8828125</v>
      </c>
      <c r="E113" s="56">
        <f t="shared" si="3"/>
        <v>2.1281534418775561E-2</v>
      </c>
    </row>
    <row r="114" spans="1:5" x14ac:dyDescent="0.3">
      <c r="A114" s="126">
        <v>44417</v>
      </c>
      <c r="B114" s="127">
        <v>16258.25</v>
      </c>
      <c r="C114" s="56">
        <f t="shared" si="2"/>
        <v>1.2347307242392969E-3</v>
      </c>
      <c r="D114" s="127">
        <v>3345.1875</v>
      </c>
      <c r="E114" s="56">
        <f t="shared" si="3"/>
        <v>1.3729180723747403E-2</v>
      </c>
    </row>
    <row r="115" spans="1:5" x14ac:dyDescent="0.3">
      <c r="A115" s="126">
        <v>44418</v>
      </c>
      <c r="B115" s="127">
        <v>16280.099609375</v>
      </c>
      <c r="C115" s="56">
        <f t="shared" si="2"/>
        <v>1.3439090538649445E-3</v>
      </c>
      <c r="D115" s="127">
        <v>3385.63818359375</v>
      </c>
      <c r="E115" s="56">
        <f t="shared" si="3"/>
        <v>1.209220218410767E-2</v>
      </c>
    </row>
    <row r="116" spans="1:5" x14ac:dyDescent="0.3">
      <c r="A116" s="126">
        <v>44419</v>
      </c>
      <c r="B116" s="127">
        <v>16282.25</v>
      </c>
      <c r="C116" s="56">
        <f t="shared" si="2"/>
        <v>1.3208706805212245E-4</v>
      </c>
      <c r="D116" s="127">
        <v>3506.60961914062</v>
      </c>
      <c r="E116" s="56">
        <f t="shared" si="3"/>
        <v>3.5730763001515564E-2</v>
      </c>
    </row>
    <row r="117" spans="1:5" x14ac:dyDescent="0.3">
      <c r="A117" s="126">
        <v>44420</v>
      </c>
      <c r="B117" s="127">
        <v>16364.400390625</v>
      </c>
      <c r="C117" s="56">
        <f t="shared" si="2"/>
        <v>5.0453954843463489E-3</v>
      </c>
      <c r="D117" s="127">
        <v>3469.82348632812</v>
      </c>
      <c r="E117" s="56">
        <f t="shared" si="3"/>
        <v>-1.0490512719666611E-2</v>
      </c>
    </row>
    <row r="118" spans="1:5" x14ac:dyDescent="0.3">
      <c r="A118" s="126">
        <v>44421</v>
      </c>
      <c r="B118" s="127">
        <v>16529.099609375</v>
      </c>
      <c r="C118" s="56">
        <f t="shared" si="2"/>
        <v>1.0064482340847336E-2</v>
      </c>
      <c r="D118" s="127">
        <v>3480.95971679687</v>
      </c>
      <c r="E118" s="56">
        <f t="shared" si="3"/>
        <v>3.2094515794907075E-3</v>
      </c>
    </row>
    <row r="119" spans="1:5" x14ac:dyDescent="0.3">
      <c r="A119" s="126">
        <v>44424</v>
      </c>
      <c r="B119" s="127">
        <v>16563.05078125</v>
      </c>
      <c r="C119" s="56">
        <f t="shared" si="2"/>
        <v>2.0540242770237249E-3</v>
      </c>
      <c r="D119" s="127">
        <v>3534.44995117187</v>
      </c>
      <c r="E119" s="56">
        <f t="shared" si="3"/>
        <v>1.5366519215057384E-2</v>
      </c>
    </row>
    <row r="120" spans="1:5" x14ac:dyDescent="0.3">
      <c r="A120" s="126">
        <v>44425</v>
      </c>
      <c r="B120" s="127">
        <v>16614.599609375</v>
      </c>
      <c r="C120" s="56">
        <f t="shared" si="2"/>
        <v>3.1122785775283823E-3</v>
      </c>
      <c r="D120" s="127">
        <v>3524.69360351562</v>
      </c>
      <c r="E120" s="56">
        <f t="shared" si="3"/>
        <v>-2.7603581295627677E-3</v>
      </c>
    </row>
    <row r="121" spans="1:5" x14ac:dyDescent="0.3">
      <c r="A121" s="126">
        <v>44426</v>
      </c>
      <c r="B121" s="127">
        <v>16568.849609375</v>
      </c>
      <c r="C121" s="56">
        <f t="shared" si="2"/>
        <v>-2.7536023181795599E-3</v>
      </c>
      <c r="D121" s="127">
        <v>3618.87280273437</v>
      </c>
      <c r="E121" s="56">
        <f t="shared" si="3"/>
        <v>2.6719825838141809E-2</v>
      </c>
    </row>
    <row r="122" spans="1:5" x14ac:dyDescent="0.3">
      <c r="A122" s="126">
        <v>44428</v>
      </c>
      <c r="B122" s="127">
        <v>16450.5</v>
      </c>
      <c r="C122" s="56">
        <f t="shared" si="2"/>
        <v>-7.1428984006249863E-3</v>
      </c>
      <c r="D122" s="127">
        <v>3621.01440429687</v>
      </c>
      <c r="E122" s="56">
        <f t="shared" si="3"/>
        <v>5.9178691245564963E-4</v>
      </c>
    </row>
    <row r="123" spans="1:5" x14ac:dyDescent="0.3">
      <c r="A123" s="126">
        <v>44431</v>
      </c>
      <c r="B123" s="127">
        <v>16496.44921875</v>
      </c>
      <c r="C123" s="56">
        <f t="shared" si="2"/>
        <v>2.7931806783987323E-3</v>
      </c>
      <c r="D123" s="127">
        <v>3613.49536132812</v>
      </c>
      <c r="E123" s="56">
        <f t="shared" si="3"/>
        <v>-2.0765018111575939E-3</v>
      </c>
    </row>
    <row r="124" spans="1:5" x14ac:dyDescent="0.3">
      <c r="A124" s="126">
        <v>44432</v>
      </c>
      <c r="B124" s="127">
        <v>16624.599609375</v>
      </c>
      <c r="C124" s="56">
        <f t="shared" si="2"/>
        <v>7.7683620836017653E-3</v>
      </c>
      <c r="D124" s="127">
        <v>3652.4228515625</v>
      </c>
      <c r="E124" s="56">
        <f t="shared" si="3"/>
        <v>1.0772807584308763E-2</v>
      </c>
    </row>
    <row r="125" spans="1:5" x14ac:dyDescent="0.3">
      <c r="A125" s="126">
        <v>44433</v>
      </c>
      <c r="B125" s="127">
        <v>16634.650390625</v>
      </c>
      <c r="C125" s="56">
        <f t="shared" si="2"/>
        <v>6.0457283099513148E-4</v>
      </c>
      <c r="D125" s="127">
        <v>3633.0068359375</v>
      </c>
      <c r="E125" s="56">
        <f t="shared" si="3"/>
        <v>-5.3159276496952401E-3</v>
      </c>
    </row>
    <row r="126" spans="1:5" x14ac:dyDescent="0.3">
      <c r="A126" s="126">
        <v>44434</v>
      </c>
      <c r="B126" s="127">
        <v>16636.900390625</v>
      </c>
      <c r="C126" s="56">
        <f t="shared" si="2"/>
        <v>1.3525983096518424E-4</v>
      </c>
      <c r="D126" s="127">
        <v>3676.55102539062</v>
      </c>
      <c r="E126" s="56">
        <f t="shared" si="3"/>
        <v>1.1985716355494613E-2</v>
      </c>
    </row>
    <row r="127" spans="1:5" x14ac:dyDescent="0.3">
      <c r="A127" s="126">
        <v>44435</v>
      </c>
      <c r="B127" s="127">
        <v>16705.19921875</v>
      </c>
      <c r="C127" s="56">
        <f t="shared" si="2"/>
        <v>4.1052615884800137E-3</v>
      </c>
      <c r="D127" s="127">
        <v>3700.20263671875</v>
      </c>
      <c r="E127" s="56">
        <f t="shared" si="3"/>
        <v>6.4330975321136297E-3</v>
      </c>
    </row>
    <row r="128" spans="1:5" x14ac:dyDescent="0.3">
      <c r="A128" s="126">
        <v>44438</v>
      </c>
      <c r="B128" s="127">
        <v>16931.05078125</v>
      </c>
      <c r="C128" s="56">
        <f t="shared" si="2"/>
        <v>1.3519836521704187E-2</v>
      </c>
      <c r="D128" s="127">
        <v>3713.67016601562</v>
      </c>
      <c r="E128" s="56">
        <f t="shared" si="3"/>
        <v>3.6396734501040751E-3</v>
      </c>
    </row>
    <row r="129" spans="1:5" x14ac:dyDescent="0.3">
      <c r="A129" s="126">
        <v>44439</v>
      </c>
      <c r="B129" s="127">
        <v>17132.19921875</v>
      </c>
      <c r="C129" s="56">
        <f t="shared" si="2"/>
        <v>1.1880446175423387E-2</v>
      </c>
      <c r="D129" s="127">
        <v>3691.58911132812</v>
      </c>
      <c r="E129" s="56">
        <f t="shared" si="3"/>
        <v>-5.9458847179179042E-3</v>
      </c>
    </row>
    <row r="130" spans="1:5" x14ac:dyDescent="0.3">
      <c r="A130" s="126">
        <v>44440</v>
      </c>
      <c r="B130" s="127">
        <v>17076.25</v>
      </c>
      <c r="C130" s="56">
        <f t="shared" si="2"/>
        <v>-3.2657347743637599E-3</v>
      </c>
      <c r="D130" s="127">
        <v>3669.98364257812</v>
      </c>
      <c r="E130" s="56">
        <f t="shared" si="3"/>
        <v>-5.8526201314498261E-3</v>
      </c>
    </row>
    <row r="131" spans="1:5" x14ac:dyDescent="0.3">
      <c r="A131" s="126">
        <v>44441</v>
      </c>
      <c r="B131" s="127">
        <v>17234.150390625</v>
      </c>
      <c r="C131" s="56">
        <f t="shared" si="2"/>
        <v>9.2467837273990661E-3</v>
      </c>
      <c r="D131" s="127">
        <v>3720.57104492187</v>
      </c>
      <c r="E131" s="56">
        <f t="shared" si="3"/>
        <v>1.3784094772752997E-2</v>
      </c>
    </row>
    <row r="132" spans="1:5" x14ac:dyDescent="0.3">
      <c r="A132" s="126">
        <v>44442</v>
      </c>
      <c r="B132" s="127">
        <v>17323.599609375</v>
      </c>
      <c r="C132" s="56">
        <f t="shared" si="2"/>
        <v>5.1902308336972958E-3</v>
      </c>
      <c r="D132" s="127">
        <v>3649.99609375</v>
      </c>
      <c r="E132" s="56">
        <f t="shared" si="3"/>
        <v>-1.8968849222270934E-2</v>
      </c>
    </row>
    <row r="133" spans="1:5" x14ac:dyDescent="0.3">
      <c r="A133" s="126">
        <v>44445</v>
      </c>
      <c r="B133" s="127">
        <v>17377.80078125</v>
      </c>
      <c r="C133" s="56">
        <f t="shared" si="2"/>
        <v>3.1287476677577253E-3</v>
      </c>
      <c r="D133" s="127">
        <v>3640.6689453125</v>
      </c>
      <c r="E133" s="56">
        <f t="shared" si="3"/>
        <v>-2.55538586834958E-3</v>
      </c>
    </row>
    <row r="134" spans="1:5" x14ac:dyDescent="0.3">
      <c r="A134" s="126">
        <v>44446</v>
      </c>
      <c r="B134" s="127">
        <v>17362.099609375</v>
      </c>
      <c r="C134" s="56">
        <f t="shared" si="2"/>
        <v>-9.0351892466977723E-4</v>
      </c>
      <c r="D134" s="127">
        <v>3604.78662109375</v>
      </c>
      <c r="E134" s="56">
        <f t="shared" si="3"/>
        <v>-9.8559700861979849E-3</v>
      </c>
    </row>
    <row r="135" spans="1:5" x14ac:dyDescent="0.3">
      <c r="A135" s="126">
        <v>44447</v>
      </c>
      <c r="B135" s="127">
        <v>17353.5</v>
      </c>
      <c r="C135" s="56">
        <f t="shared" ref="C135:C198" si="4">B135/B134-1</f>
        <v>-4.9530929832686255E-4</v>
      </c>
      <c r="D135" s="127">
        <v>3570.61743164062</v>
      </c>
      <c r="E135" s="56">
        <f t="shared" ref="E135:E198" si="5">D135/D134-1</f>
        <v>-9.4788382905067747E-3</v>
      </c>
    </row>
    <row r="136" spans="1:5" x14ac:dyDescent="0.3">
      <c r="A136" s="126">
        <v>44448</v>
      </c>
      <c r="B136" s="127">
        <v>17369.25</v>
      </c>
      <c r="C136" s="56">
        <f t="shared" si="4"/>
        <v>9.0759789091543475E-4</v>
      </c>
      <c r="D136" s="127">
        <v>3612.54345703125</v>
      </c>
      <c r="E136" s="56">
        <f t="shared" si="5"/>
        <v>1.1741953931862614E-2</v>
      </c>
    </row>
    <row r="137" spans="1:5" x14ac:dyDescent="0.3">
      <c r="A137" s="126">
        <v>44452</v>
      </c>
      <c r="B137" s="127">
        <v>17355.30078125</v>
      </c>
      <c r="C137" s="56">
        <f t="shared" si="4"/>
        <v>-8.0309850741977495E-4</v>
      </c>
      <c r="D137" s="127">
        <v>3639.47875976562</v>
      </c>
      <c r="E137" s="56">
        <f t="shared" si="5"/>
        <v>7.4560494717217374E-3</v>
      </c>
    </row>
    <row r="138" spans="1:5" x14ac:dyDescent="0.3">
      <c r="A138" s="126">
        <v>44453</v>
      </c>
      <c r="B138" s="127">
        <v>17380</v>
      </c>
      <c r="C138" s="56">
        <f t="shared" si="4"/>
        <v>1.423151293159064E-3</v>
      </c>
      <c r="D138" s="127">
        <v>3622.775390625</v>
      </c>
      <c r="E138" s="56">
        <f t="shared" si="5"/>
        <v>-4.5894948818703263E-3</v>
      </c>
    </row>
    <row r="139" spans="1:5" x14ac:dyDescent="0.3">
      <c r="A139" s="126">
        <v>44454</v>
      </c>
      <c r="B139" s="127">
        <v>17519.44921875</v>
      </c>
      <c r="C139" s="56">
        <f t="shared" si="4"/>
        <v>8.0235453826236203E-3</v>
      </c>
      <c r="D139" s="127">
        <v>3666.41479492187</v>
      </c>
      <c r="E139" s="56">
        <f t="shared" si="5"/>
        <v>1.2045848718581942E-2</v>
      </c>
    </row>
    <row r="140" spans="1:5" x14ac:dyDescent="0.3">
      <c r="A140" s="126">
        <v>44455</v>
      </c>
      <c r="B140" s="127">
        <v>17629.5</v>
      </c>
      <c r="C140" s="56">
        <f t="shared" si="4"/>
        <v>6.2816347635072933E-3</v>
      </c>
      <c r="D140" s="127">
        <v>3687.1630859375</v>
      </c>
      <c r="E140" s="56">
        <f t="shared" si="5"/>
        <v>5.6590135530674157E-3</v>
      </c>
    </row>
    <row r="141" spans="1:5" x14ac:dyDescent="0.3">
      <c r="A141" s="126">
        <v>44456</v>
      </c>
      <c r="B141" s="127">
        <v>17585.150390625</v>
      </c>
      <c r="C141" s="56">
        <f t="shared" si="4"/>
        <v>-2.5156476006126249E-3</v>
      </c>
      <c r="D141" s="127">
        <v>3640.52612304687</v>
      </c>
      <c r="E141" s="56">
        <f t="shared" si="5"/>
        <v>-1.2648467616878434E-2</v>
      </c>
    </row>
    <row r="142" spans="1:5" x14ac:dyDescent="0.3">
      <c r="A142" s="126">
        <v>44459</v>
      </c>
      <c r="B142" s="127">
        <v>17396.900390625</v>
      </c>
      <c r="C142" s="56">
        <f t="shared" si="4"/>
        <v>-1.0705054879733056E-2</v>
      </c>
      <c r="D142" s="127">
        <v>3605.07177734375</v>
      </c>
      <c r="E142" s="56">
        <f t="shared" si="5"/>
        <v>-9.7387972245746024E-3</v>
      </c>
    </row>
    <row r="143" spans="1:5" x14ac:dyDescent="0.3">
      <c r="A143" s="126">
        <v>44460</v>
      </c>
      <c r="B143" s="127">
        <v>17562</v>
      </c>
      <c r="C143" s="56">
        <f t="shared" si="4"/>
        <v>9.4901738624639798E-3</v>
      </c>
      <c r="D143" s="127">
        <v>3672.744140625</v>
      </c>
      <c r="E143" s="56">
        <f t="shared" si="5"/>
        <v>1.877143298686601E-2</v>
      </c>
    </row>
    <row r="144" spans="1:5" x14ac:dyDescent="0.3">
      <c r="A144" s="126">
        <v>44461</v>
      </c>
      <c r="B144" s="127">
        <v>17546.650390625</v>
      </c>
      <c r="C144" s="56">
        <f t="shared" si="4"/>
        <v>-8.7402399356562022E-4</v>
      </c>
      <c r="D144" s="127">
        <v>3706.81811523437</v>
      </c>
      <c r="E144" s="56">
        <f t="shared" si="5"/>
        <v>9.2775247348353407E-3</v>
      </c>
    </row>
    <row r="145" spans="1:5" x14ac:dyDescent="0.3">
      <c r="A145" s="126">
        <v>44462</v>
      </c>
      <c r="B145" s="127">
        <v>17822.94921875</v>
      </c>
      <c r="C145" s="56">
        <f t="shared" si="4"/>
        <v>1.5746528367181822E-2</v>
      </c>
      <c r="D145" s="127">
        <v>3772.1103515625</v>
      </c>
      <c r="E145" s="56">
        <f t="shared" si="5"/>
        <v>1.7614092274932602E-2</v>
      </c>
    </row>
    <row r="146" spans="1:5" x14ac:dyDescent="0.3">
      <c r="A146" s="126">
        <v>44463</v>
      </c>
      <c r="B146" s="127">
        <v>17853.19921875</v>
      </c>
      <c r="C146" s="56">
        <f t="shared" si="4"/>
        <v>1.6972499684944076E-3</v>
      </c>
      <c r="D146" s="127">
        <v>3810.08666992187</v>
      </c>
      <c r="E146" s="56">
        <f t="shared" si="5"/>
        <v>1.0067658371563537E-2</v>
      </c>
    </row>
    <row r="147" spans="1:5" x14ac:dyDescent="0.3">
      <c r="A147" s="126">
        <v>44466</v>
      </c>
      <c r="B147" s="127">
        <v>17855.099609375</v>
      </c>
      <c r="C147" s="56">
        <f t="shared" si="4"/>
        <v>1.0644538279747096E-4</v>
      </c>
      <c r="D147" s="127">
        <v>3807.13598632812</v>
      </c>
      <c r="E147" s="56">
        <f t="shared" si="5"/>
        <v>-7.7444001918480776E-4</v>
      </c>
    </row>
    <row r="148" spans="1:5" x14ac:dyDescent="0.3">
      <c r="A148" s="126">
        <v>44467</v>
      </c>
      <c r="B148" s="127">
        <v>17748.599609375</v>
      </c>
      <c r="C148" s="56">
        <f t="shared" si="4"/>
        <v>-5.9646824901542495E-3</v>
      </c>
      <c r="D148" s="127">
        <v>3746.50708007812</v>
      </c>
      <c r="E148" s="56">
        <f t="shared" si="5"/>
        <v>-1.5925069781517087E-2</v>
      </c>
    </row>
    <row r="149" spans="1:5" x14ac:dyDescent="0.3">
      <c r="A149" s="126">
        <v>44468</v>
      </c>
      <c r="B149" s="127">
        <v>17711.30078125</v>
      </c>
      <c r="C149" s="56">
        <f t="shared" si="4"/>
        <v>-2.1015082285871234E-3</v>
      </c>
      <c r="D149" s="127">
        <v>3746.26904296875</v>
      </c>
      <c r="E149" s="56">
        <f t="shared" si="5"/>
        <v>-6.3535742568232578E-5</v>
      </c>
    </row>
    <row r="150" spans="1:5" x14ac:dyDescent="0.3">
      <c r="A150" s="126">
        <v>44469</v>
      </c>
      <c r="B150" s="127">
        <v>17618.150390625</v>
      </c>
      <c r="C150" s="56">
        <f t="shared" si="4"/>
        <v>-5.2593760207388929E-3</v>
      </c>
      <c r="D150" s="127">
        <v>3788.81372070312</v>
      </c>
      <c r="E150" s="56">
        <f t="shared" si="5"/>
        <v>1.1356546272142554E-2</v>
      </c>
    </row>
    <row r="151" spans="1:5" x14ac:dyDescent="0.3">
      <c r="A151" s="126">
        <v>44470</v>
      </c>
      <c r="B151" s="127">
        <v>17532.05078125</v>
      </c>
      <c r="C151" s="56">
        <f t="shared" si="4"/>
        <v>-4.8869834497958786E-3</v>
      </c>
      <c r="D151" s="127">
        <v>3797.6650390625</v>
      </c>
      <c r="E151" s="56">
        <f t="shared" si="5"/>
        <v>2.3361714277516654E-3</v>
      </c>
    </row>
    <row r="152" spans="1:5" x14ac:dyDescent="0.3">
      <c r="A152" s="126">
        <v>44473</v>
      </c>
      <c r="B152" s="127">
        <v>17691.25</v>
      </c>
      <c r="C152" s="56">
        <f t="shared" si="4"/>
        <v>9.0804675811375635E-3</v>
      </c>
      <c r="D152" s="127">
        <v>3778.48681640625</v>
      </c>
      <c r="E152" s="56">
        <f t="shared" si="5"/>
        <v>-5.0500037415054377E-3</v>
      </c>
    </row>
    <row r="153" spans="1:5" x14ac:dyDescent="0.3">
      <c r="A153" s="126">
        <v>44474</v>
      </c>
      <c r="B153" s="127">
        <v>17822.30078125</v>
      </c>
      <c r="C153" s="56">
        <f t="shared" si="4"/>
        <v>7.4076609199462684E-3</v>
      </c>
      <c r="D153" s="127">
        <v>3778.962890625</v>
      </c>
      <c r="E153" s="56">
        <f t="shared" si="5"/>
        <v>1.2599599836704556E-4</v>
      </c>
    </row>
    <row r="154" spans="1:5" x14ac:dyDescent="0.3">
      <c r="A154" s="126">
        <v>44475</v>
      </c>
      <c r="B154" s="127">
        <v>17646</v>
      </c>
      <c r="C154" s="56">
        <f t="shared" si="4"/>
        <v>-9.8921448702895542E-3</v>
      </c>
      <c r="D154" s="127">
        <v>3745.98364257812</v>
      </c>
      <c r="E154" s="56">
        <f t="shared" si="5"/>
        <v>-8.7270632185080244E-3</v>
      </c>
    </row>
    <row r="155" spans="1:5" x14ac:dyDescent="0.3">
      <c r="A155" s="126">
        <v>44476</v>
      </c>
      <c r="B155" s="127">
        <v>17790.349609375</v>
      </c>
      <c r="C155" s="56">
        <f t="shared" si="4"/>
        <v>8.1803020160375883E-3</v>
      </c>
      <c r="D155" s="127">
        <v>3721.3330078125</v>
      </c>
      <c r="E155" s="56">
        <f t="shared" si="5"/>
        <v>-6.5805505623229843E-3</v>
      </c>
    </row>
    <row r="156" spans="1:5" x14ac:dyDescent="0.3">
      <c r="A156" s="126">
        <v>44477</v>
      </c>
      <c r="B156" s="127">
        <v>17895.19921875</v>
      </c>
      <c r="C156" s="56">
        <f t="shared" si="4"/>
        <v>5.8936227604964309E-3</v>
      </c>
      <c r="D156" s="127">
        <v>3745.07934570312</v>
      </c>
      <c r="E156" s="56">
        <f t="shared" si="5"/>
        <v>6.3811375764457612E-3</v>
      </c>
    </row>
    <row r="157" spans="1:5" x14ac:dyDescent="0.3">
      <c r="A157" s="126">
        <v>44480</v>
      </c>
      <c r="B157" s="127">
        <v>17945.94921875</v>
      </c>
      <c r="C157" s="56">
        <f t="shared" si="4"/>
        <v>2.8359561343596074E-3</v>
      </c>
      <c r="D157" s="127">
        <v>3743.8896484375</v>
      </c>
      <c r="E157" s="56">
        <f t="shared" si="5"/>
        <v>-3.1766944189981494E-4</v>
      </c>
    </row>
    <row r="158" spans="1:5" x14ac:dyDescent="0.3">
      <c r="A158" s="126">
        <v>44481</v>
      </c>
      <c r="B158" s="127">
        <v>17991.94921875</v>
      </c>
      <c r="C158" s="56">
        <f t="shared" si="4"/>
        <v>2.5632525445875576E-3</v>
      </c>
      <c r="D158" s="127">
        <v>3749.98120117187</v>
      </c>
      <c r="E158" s="56">
        <f t="shared" si="5"/>
        <v>1.6270652466778834E-3</v>
      </c>
    </row>
    <row r="159" spans="1:5" x14ac:dyDescent="0.3">
      <c r="A159" s="126">
        <v>44482</v>
      </c>
      <c r="B159" s="127">
        <v>18161.75</v>
      </c>
      <c r="C159" s="56">
        <f t="shared" si="4"/>
        <v>9.4375978492116097E-3</v>
      </c>
      <c r="D159" s="127">
        <v>3748.07739257812</v>
      </c>
      <c r="E159" s="56">
        <f t="shared" si="5"/>
        <v>-5.0768483670138309E-4</v>
      </c>
    </row>
    <row r="160" spans="1:5" x14ac:dyDescent="0.3">
      <c r="A160" s="126">
        <v>44483</v>
      </c>
      <c r="B160" s="127">
        <v>18338.55078125</v>
      </c>
      <c r="C160" s="56">
        <f t="shared" si="4"/>
        <v>9.7347877407187866E-3</v>
      </c>
      <c r="D160" s="127">
        <v>3705.0087890625</v>
      </c>
      <c r="E160" s="56">
        <f t="shared" si="5"/>
        <v>-1.1490852243580596E-2</v>
      </c>
    </row>
    <row r="161" spans="1:5" x14ac:dyDescent="0.3">
      <c r="A161" s="126">
        <v>44487</v>
      </c>
      <c r="B161" s="127">
        <v>18477.05078125</v>
      </c>
      <c r="C161" s="56">
        <f t="shared" si="4"/>
        <v>7.5523961327199629E-3</v>
      </c>
      <c r="D161" s="127">
        <v>3675.12329101562</v>
      </c>
      <c r="E161" s="56">
        <f t="shared" si="5"/>
        <v>-8.0662421463356671E-3</v>
      </c>
    </row>
    <row r="162" spans="1:5" x14ac:dyDescent="0.3">
      <c r="A162" s="126">
        <v>44488</v>
      </c>
      <c r="B162" s="127">
        <v>18418.75</v>
      </c>
      <c r="C162" s="56">
        <f t="shared" si="4"/>
        <v>-3.1553077349963932E-3</v>
      </c>
      <c r="D162" s="127">
        <v>3656.89672851562</v>
      </c>
      <c r="E162" s="56">
        <f t="shared" si="5"/>
        <v>-4.9594424613066401E-3</v>
      </c>
    </row>
    <row r="163" spans="1:5" x14ac:dyDescent="0.3">
      <c r="A163" s="126">
        <v>44489</v>
      </c>
      <c r="B163" s="127">
        <v>18266.599609375</v>
      </c>
      <c r="C163" s="56">
        <f t="shared" si="4"/>
        <v>-8.2606252120800416E-3</v>
      </c>
      <c r="D163" s="127">
        <v>3639.71704101562</v>
      </c>
      <c r="E163" s="56">
        <f t="shared" si="5"/>
        <v>-4.697886972316434E-3</v>
      </c>
    </row>
    <row r="164" spans="1:5" x14ac:dyDescent="0.3">
      <c r="A164" s="126">
        <v>44490</v>
      </c>
      <c r="B164" s="127">
        <v>18178.099609375</v>
      </c>
      <c r="C164" s="56">
        <f t="shared" si="4"/>
        <v>-4.844908296702255E-3</v>
      </c>
      <c r="D164" s="127">
        <v>3608.26049804687</v>
      </c>
      <c r="E164" s="56">
        <f t="shared" si="5"/>
        <v>-8.642579248405613E-3</v>
      </c>
    </row>
    <row r="165" spans="1:5" x14ac:dyDescent="0.3">
      <c r="A165" s="126">
        <v>44491</v>
      </c>
      <c r="B165" s="127">
        <v>18114.900390625</v>
      </c>
      <c r="C165" s="56">
        <f t="shared" si="4"/>
        <v>-3.4766680845673692E-3</v>
      </c>
      <c r="D165" s="127">
        <v>3566.57275390625</v>
      </c>
      <c r="E165" s="56">
        <f t="shared" si="5"/>
        <v>-1.1553418652335501E-2</v>
      </c>
    </row>
    <row r="166" spans="1:5" x14ac:dyDescent="0.3">
      <c r="A166" s="126">
        <v>44494</v>
      </c>
      <c r="B166" s="127">
        <v>18125.400390625</v>
      </c>
      <c r="C166" s="56">
        <f t="shared" si="4"/>
        <v>5.7963332801058698E-4</v>
      </c>
      <c r="D166" s="127">
        <v>3528.97705078125</v>
      </c>
      <c r="E166" s="56">
        <f t="shared" si="5"/>
        <v>-1.0541128898554963E-2</v>
      </c>
    </row>
    <row r="167" spans="1:5" x14ac:dyDescent="0.3">
      <c r="A167" s="126">
        <v>44495</v>
      </c>
      <c r="B167" s="127">
        <v>18268.400390625</v>
      </c>
      <c r="C167" s="56">
        <f t="shared" si="4"/>
        <v>7.8894808897000956E-3</v>
      </c>
      <c r="D167" s="127">
        <v>3517.65014648437</v>
      </c>
      <c r="E167" s="56">
        <f t="shared" si="5"/>
        <v>-3.2096848842846359E-3</v>
      </c>
    </row>
    <row r="168" spans="1:5" x14ac:dyDescent="0.3">
      <c r="A168" s="126">
        <v>44496</v>
      </c>
      <c r="B168" s="127">
        <v>18210.94921875</v>
      </c>
      <c r="C168" s="56">
        <f t="shared" si="4"/>
        <v>-3.1448386638428527E-3</v>
      </c>
      <c r="D168" s="127">
        <v>3550.91528320312</v>
      </c>
      <c r="E168" s="56">
        <f t="shared" si="5"/>
        <v>9.4566359170187297E-3</v>
      </c>
    </row>
    <row r="169" spans="1:5" x14ac:dyDescent="0.3">
      <c r="A169" s="126">
        <v>44497</v>
      </c>
      <c r="B169" s="127">
        <v>17857.25</v>
      </c>
      <c r="C169" s="56">
        <f t="shared" si="4"/>
        <v>-1.9422338424063601E-2</v>
      </c>
      <c r="D169" s="127">
        <v>3515.65209960937</v>
      </c>
      <c r="E169" s="56">
        <f t="shared" si="5"/>
        <v>-9.9307307500562381E-3</v>
      </c>
    </row>
    <row r="170" spans="1:5" x14ac:dyDescent="0.3">
      <c r="A170" s="126">
        <v>44498</v>
      </c>
      <c r="B170" s="127">
        <v>17671.650390625</v>
      </c>
      <c r="C170" s="56">
        <f t="shared" si="4"/>
        <v>-1.0393515763905459E-2</v>
      </c>
      <c r="D170" s="127">
        <v>3436.55810546875</v>
      </c>
      <c r="E170" s="56">
        <f t="shared" si="5"/>
        <v>-2.2497673802651885E-2</v>
      </c>
    </row>
    <row r="171" spans="1:5" x14ac:dyDescent="0.3">
      <c r="A171" s="126">
        <v>44501</v>
      </c>
      <c r="B171" s="127">
        <v>17929.650390625</v>
      </c>
      <c r="C171" s="56">
        <f t="shared" si="4"/>
        <v>1.4599655057507821E-2</v>
      </c>
      <c r="D171" s="127">
        <v>3579.70678710937</v>
      </c>
      <c r="E171" s="56">
        <f t="shared" si="5"/>
        <v>4.1654666456190981E-2</v>
      </c>
    </row>
    <row r="172" spans="1:5" x14ac:dyDescent="0.3">
      <c r="A172" s="126">
        <v>44502</v>
      </c>
      <c r="B172" s="127">
        <v>17888.94921875</v>
      </c>
      <c r="C172" s="56">
        <f t="shared" si="4"/>
        <v>-2.2700482713416958E-3</v>
      </c>
      <c r="D172" s="127">
        <v>3521.74291992187</v>
      </c>
      <c r="E172" s="56">
        <f t="shared" si="5"/>
        <v>-1.6192350556819224E-2</v>
      </c>
    </row>
    <row r="173" spans="1:5" x14ac:dyDescent="0.3">
      <c r="A173" s="126">
        <v>44503</v>
      </c>
      <c r="B173" s="127">
        <v>17829.19921875</v>
      </c>
      <c r="C173" s="56">
        <f t="shared" si="4"/>
        <v>-3.3400508475575075E-3</v>
      </c>
      <c r="D173" s="127">
        <v>3474.91577148437</v>
      </c>
      <c r="E173" s="56">
        <f t="shared" si="5"/>
        <v>-1.3296583396989914E-2</v>
      </c>
    </row>
    <row r="174" spans="1:5" x14ac:dyDescent="0.3">
      <c r="A174" s="126">
        <v>44504</v>
      </c>
      <c r="B174" s="127">
        <v>17916.80078125</v>
      </c>
      <c r="C174" s="56">
        <f t="shared" si="4"/>
        <v>4.9133761659847508E-3</v>
      </c>
      <c r="D174" s="127">
        <v>3472.203125</v>
      </c>
      <c r="E174" s="56">
        <f t="shared" si="5"/>
        <v>-7.8063661474336854E-4</v>
      </c>
    </row>
    <row r="175" spans="1:5" x14ac:dyDescent="0.3">
      <c r="A175" s="126">
        <v>44508</v>
      </c>
      <c r="B175" s="127">
        <v>18068.55078125</v>
      </c>
      <c r="C175" s="56">
        <f t="shared" si="4"/>
        <v>8.4697040421863878E-3</v>
      </c>
      <c r="D175" s="127">
        <v>3426.23193359375</v>
      </c>
      <c r="E175" s="56">
        <f t="shared" si="5"/>
        <v>-1.3239775943767684E-2</v>
      </c>
    </row>
    <row r="176" spans="1:5" x14ac:dyDescent="0.3">
      <c r="A176" s="126">
        <v>44509</v>
      </c>
      <c r="B176" s="127">
        <v>18044.25</v>
      </c>
      <c r="C176" s="56">
        <f t="shared" si="4"/>
        <v>-1.344921435271762E-3</v>
      </c>
      <c r="D176" s="127">
        <v>3410.62231445312</v>
      </c>
      <c r="E176" s="56">
        <f t="shared" si="5"/>
        <v>-4.5559143231314048E-3</v>
      </c>
    </row>
    <row r="177" spans="1:5" x14ac:dyDescent="0.3">
      <c r="A177" s="126">
        <v>44510</v>
      </c>
      <c r="B177" s="127">
        <v>18017.19921875</v>
      </c>
      <c r="C177" s="56">
        <f t="shared" si="4"/>
        <v>-1.4991358050348014E-3</v>
      </c>
      <c r="D177" s="127">
        <v>3382.78247070312</v>
      </c>
      <c r="E177" s="56">
        <f t="shared" si="5"/>
        <v>-8.1626873875842998E-3</v>
      </c>
    </row>
    <row r="178" spans="1:5" x14ac:dyDescent="0.3">
      <c r="A178" s="126">
        <v>44511</v>
      </c>
      <c r="B178" s="127">
        <v>17873.599609375</v>
      </c>
      <c r="C178" s="56">
        <f t="shared" si="4"/>
        <v>-7.9701405102720058E-3</v>
      </c>
      <c r="D178" s="127">
        <v>3359.98803710937</v>
      </c>
      <c r="E178" s="56">
        <f t="shared" si="5"/>
        <v>-6.7383681307217058E-3</v>
      </c>
    </row>
    <row r="179" spans="1:5" x14ac:dyDescent="0.3">
      <c r="A179" s="126">
        <v>44512</v>
      </c>
      <c r="B179" s="127">
        <v>18102.75</v>
      </c>
      <c r="C179" s="56">
        <f t="shared" si="4"/>
        <v>1.2820606684330382E-2</v>
      </c>
      <c r="D179" s="127">
        <v>3379.0234375</v>
      </c>
      <c r="E179" s="56">
        <f t="shared" si="5"/>
        <v>5.6653179060144332E-3</v>
      </c>
    </row>
    <row r="180" spans="1:5" x14ac:dyDescent="0.3">
      <c r="A180" s="126">
        <v>44515</v>
      </c>
      <c r="B180" s="127">
        <v>18109.44921875</v>
      </c>
      <c r="C180" s="56">
        <f t="shared" si="4"/>
        <v>3.7006635732139692E-4</v>
      </c>
      <c r="D180" s="127">
        <v>3416.19067382812</v>
      </c>
      <c r="E180" s="56">
        <f t="shared" si="5"/>
        <v>1.0999401754850924E-2</v>
      </c>
    </row>
    <row r="181" spans="1:5" x14ac:dyDescent="0.3">
      <c r="A181" s="126">
        <v>44516</v>
      </c>
      <c r="B181" s="127">
        <v>17999.19921875</v>
      </c>
      <c r="C181" s="56">
        <f t="shared" si="4"/>
        <v>-6.087981951756416E-3</v>
      </c>
      <c r="D181" s="127">
        <v>3379.16650390625</v>
      </c>
      <c r="E181" s="56">
        <f t="shared" si="5"/>
        <v>-1.0837852291301187E-2</v>
      </c>
    </row>
    <row r="182" spans="1:5" x14ac:dyDescent="0.3">
      <c r="A182" s="126">
        <v>44517</v>
      </c>
      <c r="B182" s="127">
        <v>17898.650390625</v>
      </c>
      <c r="C182" s="56">
        <f t="shared" si="4"/>
        <v>-5.5862945291620392E-3</v>
      </c>
      <c r="D182" s="127">
        <v>3309.25756835937</v>
      </c>
      <c r="E182" s="56">
        <f t="shared" si="5"/>
        <v>-2.0688218667552105E-2</v>
      </c>
    </row>
    <row r="183" spans="1:5" x14ac:dyDescent="0.3">
      <c r="A183" s="126">
        <v>44518</v>
      </c>
      <c r="B183" s="127">
        <v>17764.80078125</v>
      </c>
      <c r="C183" s="56">
        <f t="shared" si="4"/>
        <v>-7.478195643460861E-3</v>
      </c>
      <c r="D183" s="127">
        <v>3313.96875</v>
      </c>
      <c r="E183" s="56">
        <f t="shared" si="5"/>
        <v>1.4236370374052232E-3</v>
      </c>
    </row>
    <row r="184" spans="1:5" x14ac:dyDescent="0.3">
      <c r="A184" s="126">
        <v>44522</v>
      </c>
      <c r="B184" s="127">
        <v>17416.55078125</v>
      </c>
      <c r="C184" s="56">
        <f t="shared" si="4"/>
        <v>-1.9603372100156835E-2</v>
      </c>
      <c r="D184" s="127">
        <v>3124.9921875</v>
      </c>
      <c r="E184" s="56">
        <f t="shared" si="5"/>
        <v>-5.702424396729755E-2</v>
      </c>
    </row>
    <row r="185" spans="1:5" x14ac:dyDescent="0.3">
      <c r="A185" s="126">
        <v>44523</v>
      </c>
      <c r="B185" s="127">
        <v>17503.349609375</v>
      </c>
      <c r="C185" s="56">
        <f t="shared" si="4"/>
        <v>4.9836979327988473E-3</v>
      </c>
      <c r="D185" s="127">
        <v>3187.71435546875</v>
      </c>
      <c r="E185" s="56">
        <f t="shared" si="5"/>
        <v>2.0071143927859803E-2</v>
      </c>
    </row>
    <row r="186" spans="1:5" x14ac:dyDescent="0.3">
      <c r="A186" s="126">
        <v>44524</v>
      </c>
      <c r="B186" s="127">
        <v>17415.05078125</v>
      </c>
      <c r="C186" s="56">
        <f t="shared" si="4"/>
        <v>-5.0446817378146935E-3</v>
      </c>
      <c r="D186" s="127">
        <v>3171.86767578125</v>
      </c>
      <c r="E186" s="56">
        <f t="shared" si="5"/>
        <v>-4.9711730476458271E-3</v>
      </c>
    </row>
    <row r="187" spans="1:5" x14ac:dyDescent="0.3">
      <c r="A187" s="126">
        <v>44525</v>
      </c>
      <c r="B187" s="127">
        <v>17536.25</v>
      </c>
      <c r="C187" s="56">
        <f t="shared" si="4"/>
        <v>6.9594525030320931E-3</v>
      </c>
      <c r="D187" s="127">
        <v>3174.10400390625</v>
      </c>
      <c r="E187" s="56">
        <f t="shared" si="5"/>
        <v>7.0505088912620195E-4</v>
      </c>
    </row>
    <row r="188" spans="1:5" x14ac:dyDescent="0.3">
      <c r="A188" s="126">
        <v>44526</v>
      </c>
      <c r="B188" s="127">
        <v>17026.44921875</v>
      </c>
      <c r="C188" s="56">
        <f t="shared" si="4"/>
        <v>-2.9071254187753914E-2</v>
      </c>
      <c r="D188" s="127">
        <v>3391.11108398437</v>
      </c>
      <c r="E188" s="56">
        <f t="shared" si="5"/>
        <v>6.8367980321708988E-2</v>
      </c>
    </row>
    <row r="189" spans="1:5" x14ac:dyDescent="0.3">
      <c r="A189" s="126">
        <v>44529</v>
      </c>
      <c r="B189" s="127">
        <v>17053.94921875</v>
      </c>
      <c r="C189" s="56">
        <f t="shared" si="4"/>
        <v>1.6151341742889347E-3</v>
      </c>
      <c r="D189" s="127">
        <v>3337.62084960937</v>
      </c>
      <c r="E189" s="56">
        <f t="shared" si="5"/>
        <v>-1.577366032850569E-2</v>
      </c>
    </row>
    <row r="190" spans="1:5" x14ac:dyDescent="0.3">
      <c r="A190" s="126">
        <v>44530</v>
      </c>
      <c r="B190" s="127">
        <v>16983.19921875</v>
      </c>
      <c r="C190" s="56">
        <f t="shared" si="4"/>
        <v>-4.1485991949720136E-3</v>
      </c>
      <c r="D190" s="127">
        <v>3420.18798828125</v>
      </c>
      <c r="E190" s="56">
        <f t="shared" si="5"/>
        <v>2.4738321814337771E-2</v>
      </c>
    </row>
    <row r="191" spans="1:5" x14ac:dyDescent="0.3">
      <c r="A191" s="126">
        <v>44531</v>
      </c>
      <c r="B191" s="127">
        <v>17166.900390625</v>
      </c>
      <c r="C191" s="56">
        <f t="shared" si="4"/>
        <v>1.0816641170421359E-2</v>
      </c>
      <c r="D191" s="127">
        <v>3274.99291992187</v>
      </c>
      <c r="E191" s="56">
        <f t="shared" si="5"/>
        <v>-4.2452364857390457E-2</v>
      </c>
    </row>
    <row r="192" spans="1:5" x14ac:dyDescent="0.3">
      <c r="A192" s="126">
        <v>44532</v>
      </c>
      <c r="B192" s="127">
        <v>17401.650390625</v>
      </c>
      <c r="C192" s="56">
        <f t="shared" si="4"/>
        <v>1.3674571102433752E-2</v>
      </c>
      <c r="D192" s="127">
        <v>3305.73583984375</v>
      </c>
      <c r="E192" s="56">
        <f t="shared" si="5"/>
        <v>9.3871714148967556E-3</v>
      </c>
    </row>
    <row r="193" spans="1:5" x14ac:dyDescent="0.3">
      <c r="A193" s="126">
        <v>44533</v>
      </c>
      <c r="B193" s="127">
        <v>17196.69921875</v>
      </c>
      <c r="C193" s="56">
        <f t="shared" si="4"/>
        <v>-1.177768586739425E-2</v>
      </c>
      <c r="D193" s="127">
        <v>3272.99462890625</v>
      </c>
      <c r="E193" s="56">
        <f t="shared" si="5"/>
        <v>-9.9043639672816708E-3</v>
      </c>
    </row>
    <row r="194" spans="1:5" x14ac:dyDescent="0.3">
      <c r="A194" s="126">
        <v>44536</v>
      </c>
      <c r="B194" s="127">
        <v>16912.25</v>
      </c>
      <c r="C194" s="56">
        <f t="shared" si="4"/>
        <v>-1.654091957599968E-2</v>
      </c>
      <c r="D194" s="127">
        <v>3245.39306640625</v>
      </c>
      <c r="E194" s="56">
        <f t="shared" si="5"/>
        <v>-8.4331218439009925E-3</v>
      </c>
    </row>
    <row r="195" spans="1:5" x14ac:dyDescent="0.3">
      <c r="A195" s="126">
        <v>44537</v>
      </c>
      <c r="B195" s="127">
        <v>17176.69921875</v>
      </c>
      <c r="C195" s="56">
        <f t="shared" si="4"/>
        <v>1.5636548581649423E-2</v>
      </c>
      <c r="D195" s="127">
        <v>3263.52490234375</v>
      </c>
      <c r="E195" s="56">
        <f t="shared" si="5"/>
        <v>5.5869460390443049E-3</v>
      </c>
    </row>
    <row r="196" spans="1:5" x14ac:dyDescent="0.3">
      <c r="A196" s="126">
        <v>44538</v>
      </c>
      <c r="B196" s="127">
        <v>17469.75</v>
      </c>
      <c r="C196" s="56">
        <f t="shared" si="4"/>
        <v>1.7060948527881648E-2</v>
      </c>
      <c r="D196" s="127">
        <v>3282.79833984375</v>
      </c>
      <c r="E196" s="56">
        <f t="shared" si="5"/>
        <v>5.9057117922276525E-3</v>
      </c>
    </row>
    <row r="197" spans="1:5" x14ac:dyDescent="0.3">
      <c r="A197" s="126">
        <v>44539</v>
      </c>
      <c r="B197" s="127">
        <v>17516.849609375</v>
      </c>
      <c r="C197" s="56">
        <f t="shared" si="4"/>
        <v>2.6960665936832662E-3</v>
      </c>
      <c r="D197" s="127">
        <v>3290.8408203125</v>
      </c>
      <c r="E197" s="56">
        <f t="shared" si="5"/>
        <v>2.4498856268864166E-3</v>
      </c>
    </row>
    <row r="198" spans="1:5" x14ac:dyDescent="0.3">
      <c r="A198" s="126">
        <v>44540</v>
      </c>
      <c r="B198" s="127">
        <v>17511.30078125</v>
      </c>
      <c r="C198" s="56">
        <f t="shared" si="4"/>
        <v>-3.1677089480919296E-4</v>
      </c>
      <c r="D198" s="127">
        <v>3249.58081054687</v>
      </c>
      <c r="E198" s="56">
        <f t="shared" si="5"/>
        <v>-1.2537832128176829E-2</v>
      </c>
    </row>
    <row r="199" spans="1:5" x14ac:dyDescent="0.3">
      <c r="A199" s="126">
        <v>44543</v>
      </c>
      <c r="B199" s="127">
        <v>17368.25</v>
      </c>
      <c r="C199" s="56">
        <f t="shared" ref="C199:C262" si="6">B199/B198-1</f>
        <v>-8.1690551168631664E-3</v>
      </c>
      <c r="D199" s="127">
        <v>3274.13671875</v>
      </c>
      <c r="E199" s="56">
        <f t="shared" ref="E199:E262" si="7">D199/D198-1</f>
        <v>7.5566387281187364E-3</v>
      </c>
    </row>
    <row r="200" spans="1:5" x14ac:dyDescent="0.3">
      <c r="A200" s="126">
        <v>44544</v>
      </c>
      <c r="B200" s="127">
        <v>17324.900390625</v>
      </c>
      <c r="C200" s="56">
        <f t="shared" si="6"/>
        <v>-2.4959111813221968E-3</v>
      </c>
      <c r="D200" s="127">
        <v>3299.31127929687</v>
      </c>
      <c r="E200" s="56">
        <f t="shared" si="7"/>
        <v>7.6889154941828242E-3</v>
      </c>
    </row>
    <row r="201" spans="1:5" x14ac:dyDescent="0.3">
      <c r="A201" s="126">
        <v>44545</v>
      </c>
      <c r="B201" s="127">
        <v>17221.400390625</v>
      </c>
      <c r="C201" s="56">
        <f t="shared" si="6"/>
        <v>-5.9740603216401622E-3</v>
      </c>
      <c r="D201" s="127">
        <v>3265.2373046875</v>
      </c>
      <c r="E201" s="56">
        <f t="shared" si="7"/>
        <v>-1.0327602255411183E-2</v>
      </c>
    </row>
    <row r="202" spans="1:5" x14ac:dyDescent="0.3">
      <c r="A202" s="126">
        <v>44546</v>
      </c>
      <c r="B202" s="127">
        <v>17248.400390625</v>
      </c>
      <c r="C202" s="56">
        <f t="shared" si="6"/>
        <v>1.5678167505297491E-3</v>
      </c>
      <c r="D202" s="127">
        <v>3254.57763671875</v>
      </c>
      <c r="E202" s="56">
        <f t="shared" si="7"/>
        <v>-3.264592118143228E-3</v>
      </c>
    </row>
    <row r="203" spans="1:5" x14ac:dyDescent="0.3">
      <c r="A203" s="126">
        <v>44547</v>
      </c>
      <c r="B203" s="127">
        <v>16985.19921875</v>
      </c>
      <c r="C203" s="56">
        <f t="shared" si="6"/>
        <v>-1.525945397337003E-2</v>
      </c>
      <c r="D203" s="127">
        <v>3243.06103515625</v>
      </c>
      <c r="E203" s="56">
        <f t="shared" si="7"/>
        <v>-3.538585600960209E-3</v>
      </c>
    </row>
    <row r="204" spans="1:5" x14ac:dyDescent="0.3">
      <c r="A204" s="126">
        <v>44550</v>
      </c>
      <c r="B204" s="127">
        <v>16614.19921875</v>
      </c>
      <c r="C204" s="56">
        <f t="shared" si="6"/>
        <v>-2.1842546279377872E-2</v>
      </c>
      <c r="D204" s="127">
        <v>3210.60522460937</v>
      </c>
      <c r="E204" s="56">
        <f t="shared" si="7"/>
        <v>-1.0007770496775814E-2</v>
      </c>
    </row>
    <row r="205" spans="1:5" x14ac:dyDescent="0.3">
      <c r="A205" s="126">
        <v>44551</v>
      </c>
      <c r="B205" s="127">
        <v>16770.849609375</v>
      </c>
      <c r="C205" s="56">
        <f t="shared" si="6"/>
        <v>9.4287054442090401E-3</v>
      </c>
      <c r="D205" s="127">
        <v>3259.38403320312</v>
      </c>
      <c r="E205" s="56">
        <f t="shared" si="7"/>
        <v>1.5193025981475206E-2</v>
      </c>
    </row>
    <row r="206" spans="1:5" x14ac:dyDescent="0.3">
      <c r="A206" s="126">
        <v>44552</v>
      </c>
      <c r="B206" s="127">
        <v>16955.44921875</v>
      </c>
      <c r="C206" s="56">
        <f t="shared" si="6"/>
        <v>1.1007170994593363E-2</v>
      </c>
      <c r="D206" s="127">
        <v>3277.18212890625</v>
      </c>
      <c r="E206" s="56">
        <f t="shared" si="7"/>
        <v>5.4605703169132713E-3</v>
      </c>
    </row>
    <row r="207" spans="1:5" x14ac:dyDescent="0.3">
      <c r="A207" s="126">
        <v>44553</v>
      </c>
      <c r="B207" s="127">
        <v>17072.599609375</v>
      </c>
      <c r="C207" s="56">
        <f t="shared" si="6"/>
        <v>6.9093062126275306E-3</v>
      </c>
      <c r="D207" s="127">
        <v>3282.89306640625</v>
      </c>
      <c r="E207" s="56">
        <f t="shared" si="7"/>
        <v>1.7426365930739429E-3</v>
      </c>
    </row>
    <row r="208" spans="1:5" x14ac:dyDescent="0.3">
      <c r="A208" s="126">
        <v>44554</v>
      </c>
      <c r="B208" s="127">
        <v>17003.75</v>
      </c>
      <c r="C208" s="56">
        <f t="shared" si="6"/>
        <v>-4.0327548791804224E-3</v>
      </c>
      <c r="D208" s="127">
        <v>3294.076171875</v>
      </c>
      <c r="E208" s="56">
        <f t="shared" si="7"/>
        <v>3.4064787498522264E-3</v>
      </c>
    </row>
    <row r="209" spans="1:5" x14ac:dyDescent="0.3">
      <c r="A209" s="126">
        <v>44557</v>
      </c>
      <c r="B209" s="127">
        <v>17086.25</v>
      </c>
      <c r="C209" s="56">
        <f t="shared" si="6"/>
        <v>4.8518709108285041E-3</v>
      </c>
      <c r="D209" s="127">
        <v>3307.87719726562</v>
      </c>
      <c r="E209" s="56">
        <f t="shared" si="7"/>
        <v>4.1896497441236136E-3</v>
      </c>
    </row>
    <row r="210" spans="1:5" x14ac:dyDescent="0.3">
      <c r="A210" s="126">
        <v>44558</v>
      </c>
      <c r="B210" s="127">
        <v>17233.25</v>
      </c>
      <c r="C210" s="56">
        <f t="shared" si="6"/>
        <v>8.6034091740434526E-3</v>
      </c>
      <c r="D210" s="127">
        <v>3317.01489257812</v>
      </c>
      <c r="E210" s="56">
        <f t="shared" si="7"/>
        <v>2.7624046382537237E-3</v>
      </c>
    </row>
    <row r="211" spans="1:5" x14ac:dyDescent="0.3">
      <c r="A211" s="126">
        <v>44559</v>
      </c>
      <c r="B211" s="127">
        <v>17213.599609375</v>
      </c>
      <c r="C211" s="56">
        <f t="shared" si="6"/>
        <v>-1.1402602889762914E-3</v>
      </c>
      <c r="D211" s="127">
        <v>3348.13793945312</v>
      </c>
      <c r="E211" s="56">
        <f t="shared" si="7"/>
        <v>9.3828480977393713E-3</v>
      </c>
    </row>
    <row r="212" spans="1:5" x14ac:dyDescent="0.3">
      <c r="A212" s="126">
        <v>44560</v>
      </c>
      <c r="B212" s="127">
        <v>17203.94921875</v>
      </c>
      <c r="C212" s="56">
        <f t="shared" si="6"/>
        <v>-5.6062594948147471E-4</v>
      </c>
      <c r="D212" s="127">
        <v>3449.26513671875</v>
      </c>
      <c r="E212" s="56">
        <f t="shared" si="7"/>
        <v>3.0204011631058458E-2</v>
      </c>
    </row>
    <row r="213" spans="1:5" x14ac:dyDescent="0.3">
      <c r="A213" s="126">
        <v>44561</v>
      </c>
      <c r="B213" s="127">
        <v>17354.05078125</v>
      </c>
      <c r="C213" s="56">
        <f t="shared" si="6"/>
        <v>8.7248317576065215E-3</v>
      </c>
      <c r="D213" s="127">
        <v>3449.31274414062</v>
      </c>
      <c r="E213" s="56">
        <f t="shared" si="7"/>
        <v>1.3802192636136468E-5</v>
      </c>
    </row>
    <row r="214" spans="1:5" x14ac:dyDescent="0.3">
      <c r="A214" s="126">
        <v>44564</v>
      </c>
      <c r="B214" s="127">
        <v>17625.69921875</v>
      </c>
      <c r="C214" s="56">
        <f t="shared" si="6"/>
        <v>1.5653315812207858E-2</v>
      </c>
      <c r="D214" s="127">
        <v>3465.541015625</v>
      </c>
      <c r="E214" s="56">
        <f t="shared" si="7"/>
        <v>4.7047840216714043E-3</v>
      </c>
    </row>
    <row r="215" spans="1:5" x14ac:dyDescent="0.3">
      <c r="A215" s="126">
        <v>44565</v>
      </c>
      <c r="B215" s="127">
        <v>17805.25</v>
      </c>
      <c r="C215" s="56">
        <f t="shared" si="6"/>
        <v>1.0186874235264209E-2</v>
      </c>
      <c r="D215" s="127">
        <v>3439.55688476562</v>
      </c>
      <c r="E215" s="56">
        <f t="shared" si="7"/>
        <v>-7.4978569701602549E-3</v>
      </c>
    </row>
    <row r="216" spans="1:5" x14ac:dyDescent="0.3">
      <c r="A216" s="126">
        <v>44566</v>
      </c>
      <c r="B216" s="127">
        <v>17925.25</v>
      </c>
      <c r="C216" s="56">
        <f t="shared" si="6"/>
        <v>6.7395852346920915E-3</v>
      </c>
      <c r="D216" s="127">
        <v>3429.0869140625</v>
      </c>
      <c r="E216" s="56">
        <f t="shared" si="7"/>
        <v>-3.0439882385703276E-3</v>
      </c>
    </row>
    <row r="217" spans="1:5" x14ac:dyDescent="0.3">
      <c r="A217" s="126">
        <v>44567</v>
      </c>
      <c r="B217" s="127">
        <v>17745.900390625</v>
      </c>
      <c r="C217" s="56">
        <f t="shared" si="6"/>
        <v>-1.0005417462796928E-2</v>
      </c>
      <c r="D217" s="127">
        <v>3506.27685546875</v>
      </c>
      <c r="E217" s="56">
        <f t="shared" si="7"/>
        <v>2.2510348480727638E-2</v>
      </c>
    </row>
    <row r="218" spans="1:5" x14ac:dyDescent="0.3">
      <c r="A218" s="126">
        <v>44568</v>
      </c>
      <c r="B218" s="127">
        <v>17812.69921875</v>
      </c>
      <c r="C218" s="56">
        <f t="shared" si="6"/>
        <v>3.7641836511315141E-3</v>
      </c>
      <c r="D218" s="127">
        <v>3505.89575195312</v>
      </c>
      <c r="E218" s="56">
        <f t="shared" si="7"/>
        <v>-1.0869179227412928E-4</v>
      </c>
    </row>
    <row r="219" spans="1:5" x14ac:dyDescent="0.3">
      <c r="A219" s="126">
        <v>44571</v>
      </c>
      <c r="B219" s="127">
        <v>18003.30078125</v>
      </c>
      <c r="C219" s="56">
        <f t="shared" si="6"/>
        <v>1.0700318921871732E-2</v>
      </c>
      <c r="D219" s="127">
        <v>3556.38842773437</v>
      </c>
      <c r="E219" s="56">
        <f t="shared" si="7"/>
        <v>1.4402218249963905E-2</v>
      </c>
    </row>
    <row r="220" spans="1:5" x14ac:dyDescent="0.3">
      <c r="A220" s="126">
        <v>44572</v>
      </c>
      <c r="B220" s="127">
        <v>18055.75</v>
      </c>
      <c r="C220" s="56">
        <f t="shared" si="6"/>
        <v>2.9133112526023019E-3</v>
      </c>
      <c r="D220" s="127">
        <v>3527.12133789062</v>
      </c>
      <c r="E220" s="56">
        <f t="shared" si="7"/>
        <v>-8.2294413106036579E-3</v>
      </c>
    </row>
    <row r="221" spans="1:5" x14ac:dyDescent="0.3">
      <c r="A221" s="126">
        <v>44573</v>
      </c>
      <c r="B221" s="127">
        <v>18212.349609375</v>
      </c>
      <c r="C221" s="56">
        <f t="shared" si="6"/>
        <v>8.6731157318304941E-3</v>
      </c>
      <c r="D221" s="127">
        <v>3517.5556640625</v>
      </c>
      <c r="E221" s="56">
        <f t="shared" si="7"/>
        <v>-2.7120342374841178E-3</v>
      </c>
    </row>
    <row r="222" spans="1:5" x14ac:dyDescent="0.3">
      <c r="A222" s="126">
        <v>44574</v>
      </c>
      <c r="B222" s="127">
        <v>18257.80078125</v>
      </c>
      <c r="C222" s="56">
        <f t="shared" si="6"/>
        <v>2.4956237305924223E-3</v>
      </c>
      <c r="D222" s="127">
        <v>3519.17333984375</v>
      </c>
      <c r="E222" s="56">
        <f t="shared" si="7"/>
        <v>4.5988633464344453E-4</v>
      </c>
    </row>
    <row r="223" spans="1:5" x14ac:dyDescent="0.3">
      <c r="A223" s="126">
        <v>44575</v>
      </c>
      <c r="B223" s="127">
        <v>18255.75</v>
      </c>
      <c r="C223" s="56">
        <f t="shared" si="6"/>
        <v>-1.1232356375068253E-4</v>
      </c>
      <c r="D223" s="127">
        <v>3450.31225585937</v>
      </c>
      <c r="E223" s="56">
        <f t="shared" si="7"/>
        <v>-1.9567403288931917E-2</v>
      </c>
    </row>
    <row r="224" spans="1:5" x14ac:dyDescent="0.3">
      <c r="A224" s="126">
        <v>44578</v>
      </c>
      <c r="B224" s="127">
        <v>18308.099609375</v>
      </c>
      <c r="C224" s="56">
        <f t="shared" si="6"/>
        <v>2.8675682661627455E-3</v>
      </c>
      <c r="D224" s="127">
        <v>3405.00756835937</v>
      </c>
      <c r="E224" s="56">
        <f t="shared" si="7"/>
        <v>-1.3130605041054788E-2</v>
      </c>
    </row>
    <row r="225" spans="1:5" x14ac:dyDescent="0.3">
      <c r="A225" s="126">
        <v>44579</v>
      </c>
      <c r="B225" s="127">
        <v>18113.05078125</v>
      </c>
      <c r="C225" s="56">
        <f t="shared" si="6"/>
        <v>-1.0653690567923424E-2</v>
      </c>
      <c r="D225" s="127">
        <v>3319.77490234375</v>
      </c>
      <c r="E225" s="56">
        <f t="shared" si="7"/>
        <v>-2.5031564337076539E-2</v>
      </c>
    </row>
    <row r="226" spans="1:5" x14ac:dyDescent="0.3">
      <c r="A226" s="126">
        <v>44580</v>
      </c>
      <c r="B226" s="127">
        <v>17938.400390625</v>
      </c>
      <c r="C226" s="56">
        <f t="shared" si="6"/>
        <v>-9.6422404339412404E-3</v>
      </c>
      <c r="D226" s="127">
        <v>3327.48413085937</v>
      </c>
      <c r="E226" s="56">
        <f t="shared" si="7"/>
        <v>2.3222142290963976E-3</v>
      </c>
    </row>
    <row r="227" spans="1:5" x14ac:dyDescent="0.3">
      <c r="A227" s="126">
        <v>44581</v>
      </c>
      <c r="B227" s="127">
        <v>17757</v>
      </c>
      <c r="C227" s="56">
        <f t="shared" si="6"/>
        <v>-1.0112406160797005E-2</v>
      </c>
      <c r="D227" s="127">
        <v>3356.60913085937</v>
      </c>
      <c r="E227" s="56">
        <f t="shared" si="7"/>
        <v>8.752859173659866E-3</v>
      </c>
    </row>
    <row r="228" spans="1:5" x14ac:dyDescent="0.3">
      <c r="A228" s="126">
        <v>44582</v>
      </c>
      <c r="B228" s="127">
        <v>17617.150390625</v>
      </c>
      <c r="C228" s="56">
        <f t="shared" si="6"/>
        <v>-7.8757453046686132E-3</v>
      </c>
      <c r="D228" s="127">
        <v>3379.49951171875</v>
      </c>
      <c r="E228" s="56">
        <f t="shared" si="7"/>
        <v>6.8194954988756162E-3</v>
      </c>
    </row>
    <row r="229" spans="1:5" x14ac:dyDescent="0.3">
      <c r="A229" s="126">
        <v>44585</v>
      </c>
      <c r="B229" s="127">
        <v>17149.099609375</v>
      </c>
      <c r="C229" s="56">
        <f t="shared" si="6"/>
        <v>-2.6567905187383389E-2</v>
      </c>
      <c r="D229" s="127">
        <v>3332.00512695312</v>
      </c>
      <c r="E229" s="56">
        <f t="shared" si="7"/>
        <v>-1.4053674102019742E-2</v>
      </c>
    </row>
    <row r="230" spans="1:5" x14ac:dyDescent="0.3">
      <c r="A230" s="126">
        <v>44586</v>
      </c>
      <c r="B230" s="127">
        <v>17277.94921875</v>
      </c>
      <c r="C230" s="56">
        <f t="shared" si="6"/>
        <v>7.5134912216943128E-3</v>
      </c>
      <c r="D230" s="127">
        <v>3287.46142578125</v>
      </c>
      <c r="E230" s="56">
        <f t="shared" si="7"/>
        <v>-1.336843716462166E-2</v>
      </c>
    </row>
    <row r="231" spans="1:5" x14ac:dyDescent="0.3">
      <c r="A231" s="126">
        <v>44588</v>
      </c>
      <c r="B231" s="127">
        <v>17110.150390625</v>
      </c>
      <c r="C231" s="56">
        <f t="shared" si="6"/>
        <v>-9.7117329146276798E-3</v>
      </c>
      <c r="D231" s="127">
        <v>3217.69604492187</v>
      </c>
      <c r="E231" s="56">
        <f t="shared" si="7"/>
        <v>-2.1221657632925828E-2</v>
      </c>
    </row>
    <row r="232" spans="1:5" x14ac:dyDescent="0.3">
      <c r="A232" s="126">
        <v>44589</v>
      </c>
      <c r="B232" s="127">
        <v>17101.94921875</v>
      </c>
      <c r="C232" s="56">
        <f t="shared" si="6"/>
        <v>-4.793161771092791E-4</v>
      </c>
      <c r="D232" s="127">
        <v>3252.150390625</v>
      </c>
      <c r="E232" s="56">
        <f t="shared" si="7"/>
        <v>1.0707768919785199E-2</v>
      </c>
    </row>
    <row r="233" spans="1:5" x14ac:dyDescent="0.3">
      <c r="A233" s="126">
        <v>44592</v>
      </c>
      <c r="B233" s="127">
        <v>17339.849609375</v>
      </c>
      <c r="C233" s="56">
        <f t="shared" si="6"/>
        <v>1.3910717870929901E-2</v>
      </c>
      <c r="D233" s="127">
        <v>3368.505859375</v>
      </c>
      <c r="E233" s="56">
        <f t="shared" si="7"/>
        <v>3.577800986246471E-2</v>
      </c>
    </row>
    <row r="234" spans="1:5" x14ac:dyDescent="0.3">
      <c r="A234" s="126">
        <v>44593</v>
      </c>
      <c r="B234" s="127">
        <v>17576.849609375</v>
      </c>
      <c r="C234" s="56">
        <f t="shared" si="6"/>
        <v>1.3667938611870323E-2</v>
      </c>
      <c r="D234" s="127">
        <v>3357.17993164062</v>
      </c>
      <c r="E234" s="56">
        <f t="shared" si="7"/>
        <v>-3.3623001435068023E-3</v>
      </c>
    </row>
    <row r="235" spans="1:5" x14ac:dyDescent="0.3">
      <c r="A235" s="126">
        <v>44594</v>
      </c>
      <c r="B235" s="127">
        <v>17780</v>
      </c>
      <c r="C235" s="56">
        <f t="shared" si="6"/>
        <v>1.1557838585399605E-2</v>
      </c>
      <c r="D235" s="127">
        <v>3379.0234375</v>
      </c>
      <c r="E235" s="56">
        <f t="shared" si="7"/>
        <v>6.5065043590635252E-3</v>
      </c>
    </row>
    <row r="236" spans="1:5" x14ac:dyDescent="0.3">
      <c r="A236" s="126">
        <v>44595</v>
      </c>
      <c r="B236" s="127">
        <v>17560.19921875</v>
      </c>
      <c r="C236" s="56">
        <f t="shared" si="6"/>
        <v>-1.2362248664229525E-2</v>
      </c>
      <c r="D236" s="127">
        <v>3367.3642578125</v>
      </c>
      <c r="E236" s="56">
        <f t="shared" si="7"/>
        <v>-3.4504583656058685E-3</v>
      </c>
    </row>
    <row r="237" spans="1:5" x14ac:dyDescent="0.3">
      <c r="A237" s="126">
        <v>44596</v>
      </c>
      <c r="B237" s="127">
        <v>17516.30078125</v>
      </c>
      <c r="C237" s="56">
        <f t="shared" si="6"/>
        <v>-2.4998826581151823E-3</v>
      </c>
      <c r="D237" s="127">
        <v>3344.56884765625</v>
      </c>
      <c r="E237" s="56">
        <f t="shared" si="7"/>
        <v>-6.769511229253955E-3</v>
      </c>
    </row>
    <row r="238" spans="1:5" x14ac:dyDescent="0.3">
      <c r="A238" s="126">
        <v>44599</v>
      </c>
      <c r="B238" s="127">
        <v>17213.599609375</v>
      </c>
      <c r="C238" s="56">
        <f t="shared" si="6"/>
        <v>-1.7281112927623465E-2</v>
      </c>
      <c r="D238" s="127">
        <v>3318.06127929687</v>
      </c>
      <c r="E238" s="56">
        <f t="shared" si="7"/>
        <v>-7.925556197760919E-3</v>
      </c>
    </row>
    <row r="239" spans="1:5" x14ac:dyDescent="0.3">
      <c r="A239" s="126">
        <v>44600</v>
      </c>
      <c r="B239" s="127">
        <v>17266.75</v>
      </c>
      <c r="C239" s="56">
        <f t="shared" si="6"/>
        <v>3.0876976246183574E-3</v>
      </c>
      <c r="D239" s="127">
        <v>3322.29711914062</v>
      </c>
      <c r="E239" s="56">
        <f t="shared" si="7"/>
        <v>1.2766008482663072E-3</v>
      </c>
    </row>
    <row r="240" spans="1:5" x14ac:dyDescent="0.3">
      <c r="A240" s="126">
        <v>44601</v>
      </c>
      <c r="B240" s="127">
        <v>17463.80078125</v>
      </c>
      <c r="C240" s="56">
        <f t="shared" si="6"/>
        <v>1.1412152330345871E-2</v>
      </c>
      <c r="D240" s="127">
        <v>3349.66064453125</v>
      </c>
      <c r="E240" s="56">
        <f t="shared" si="7"/>
        <v>8.2363269777954162E-3</v>
      </c>
    </row>
    <row r="241" spans="1:5" x14ac:dyDescent="0.3">
      <c r="A241" s="126">
        <v>44602</v>
      </c>
      <c r="B241" s="127">
        <v>17605.849609375</v>
      </c>
      <c r="C241" s="56">
        <f t="shared" si="6"/>
        <v>8.1339010851240179E-3</v>
      </c>
      <c r="D241" s="127">
        <v>3360.41235351562</v>
      </c>
      <c r="E241" s="56">
        <f t="shared" si="7"/>
        <v>3.2097905206975863E-3</v>
      </c>
    </row>
    <row r="242" spans="1:5" x14ac:dyDescent="0.3">
      <c r="A242" s="126">
        <v>44603</v>
      </c>
      <c r="B242" s="127">
        <v>17374.75</v>
      </c>
      <c r="C242" s="56">
        <f t="shared" si="6"/>
        <v>-1.312629691281364E-2</v>
      </c>
      <c r="D242" s="127">
        <v>3294.07885742187</v>
      </c>
      <c r="E242" s="56">
        <f t="shared" si="7"/>
        <v>-1.9739689393878379E-2</v>
      </c>
    </row>
    <row r="243" spans="1:5" x14ac:dyDescent="0.3">
      <c r="A243" s="126">
        <v>44606</v>
      </c>
      <c r="B243" s="127">
        <v>16842.80078125</v>
      </c>
      <c r="C243" s="56">
        <f t="shared" si="6"/>
        <v>-3.0616222895293421E-2</v>
      </c>
      <c r="D243" s="127">
        <v>3230.33715820312</v>
      </c>
      <c r="E243" s="56">
        <f t="shared" si="7"/>
        <v>-1.9350386550441523E-2</v>
      </c>
    </row>
    <row r="244" spans="1:5" x14ac:dyDescent="0.3">
      <c r="A244" s="126">
        <v>44607</v>
      </c>
      <c r="B244" s="127">
        <v>17352.44921875</v>
      </c>
      <c r="C244" s="56">
        <f t="shared" si="6"/>
        <v>3.0259126383977542E-2</v>
      </c>
      <c r="D244" s="127">
        <v>3249.58447265625</v>
      </c>
      <c r="E244" s="56">
        <f t="shared" si="7"/>
        <v>5.958298936150852E-3</v>
      </c>
    </row>
    <row r="245" spans="1:5" x14ac:dyDescent="0.3">
      <c r="A245" s="126">
        <v>44608</v>
      </c>
      <c r="B245" s="127">
        <v>17322.19921875</v>
      </c>
      <c r="C245" s="56">
        <f t="shared" si="6"/>
        <v>-1.7432697608654735E-3</v>
      </c>
      <c r="D245" s="127">
        <v>3229.52124023437</v>
      </c>
      <c r="E245" s="56">
        <f t="shared" si="7"/>
        <v>-6.1740916694743575E-3</v>
      </c>
    </row>
    <row r="246" spans="1:5" x14ac:dyDescent="0.3">
      <c r="A246" s="126">
        <v>44609</v>
      </c>
      <c r="B246" s="127">
        <v>17304.599609375</v>
      </c>
      <c r="C246" s="56">
        <f t="shared" si="6"/>
        <v>-1.016014719190439E-3</v>
      </c>
      <c r="D246" s="127">
        <v>3244.83227539062</v>
      </c>
      <c r="E246" s="56">
        <f t="shared" si="7"/>
        <v>4.7409612810407342E-3</v>
      </c>
    </row>
    <row r="247" spans="1:5" x14ac:dyDescent="0.3">
      <c r="A247" s="126">
        <v>44610</v>
      </c>
      <c r="B247" s="127">
        <v>17276.30078125</v>
      </c>
      <c r="C247" s="56">
        <f t="shared" si="6"/>
        <v>-1.6353356196504576E-3</v>
      </c>
      <c r="D247" s="127">
        <v>3192.22631835937</v>
      </c>
      <c r="E247" s="56">
        <f t="shared" si="7"/>
        <v>-1.6212226878480895E-2</v>
      </c>
    </row>
    <row r="248" spans="1:5" x14ac:dyDescent="0.3">
      <c r="A248" s="126">
        <v>44613</v>
      </c>
      <c r="B248" s="127">
        <v>17206.650390625</v>
      </c>
      <c r="C248" s="56">
        <f t="shared" si="6"/>
        <v>-4.0315569581070854E-3</v>
      </c>
      <c r="D248" s="127">
        <v>3187.76220703125</v>
      </c>
      <c r="E248" s="56">
        <f t="shared" si="7"/>
        <v>-1.3984319665700795E-3</v>
      </c>
    </row>
    <row r="249" spans="1:5" x14ac:dyDescent="0.3">
      <c r="A249" s="126">
        <v>44614</v>
      </c>
      <c r="B249" s="127">
        <v>17092.19921875</v>
      </c>
      <c r="C249" s="56">
        <f t="shared" si="6"/>
        <v>-6.6515660675804389E-3</v>
      </c>
      <c r="D249" s="127">
        <v>3140.05200195312</v>
      </c>
      <c r="E249" s="56">
        <f t="shared" si="7"/>
        <v>-1.4966676301292337E-2</v>
      </c>
    </row>
    <row r="250" spans="1:5" x14ac:dyDescent="0.3">
      <c r="A250" s="126">
        <v>44615</v>
      </c>
      <c r="B250" s="127">
        <v>17063.25</v>
      </c>
      <c r="C250" s="56">
        <f t="shared" si="6"/>
        <v>-1.6937094155936583E-3</v>
      </c>
      <c r="D250" s="127">
        <v>3134.29248046875</v>
      </c>
      <c r="E250" s="56">
        <f t="shared" si="7"/>
        <v>-1.8342121343173368E-3</v>
      </c>
    </row>
    <row r="251" spans="1:5" x14ac:dyDescent="0.3">
      <c r="A251" s="126">
        <v>44616</v>
      </c>
      <c r="B251" s="127">
        <v>16247.9501953125</v>
      </c>
      <c r="C251" s="56">
        <f t="shared" si="6"/>
        <v>-4.7781038470836479E-2</v>
      </c>
      <c r="D251" s="127">
        <v>3044.48754882812</v>
      </c>
      <c r="E251" s="56">
        <f t="shared" si="7"/>
        <v>-2.8652377594065248E-2</v>
      </c>
    </row>
    <row r="252" spans="1:5" x14ac:dyDescent="0.3">
      <c r="A252" s="126">
        <v>44617</v>
      </c>
      <c r="B252" s="127">
        <v>16658.400390625</v>
      </c>
      <c r="C252" s="56">
        <f t="shared" si="6"/>
        <v>2.5261660109649586E-2</v>
      </c>
      <c r="D252" s="127">
        <v>3167.31518554687</v>
      </c>
      <c r="E252" s="56">
        <f t="shared" si="7"/>
        <v>4.0344272968378059E-2</v>
      </c>
    </row>
    <row r="253" spans="1:5" x14ac:dyDescent="0.3">
      <c r="A253" s="126">
        <v>44620</v>
      </c>
      <c r="B253" s="127">
        <v>16793.900390625</v>
      </c>
      <c r="C253" s="56">
        <f t="shared" si="6"/>
        <v>8.1340342903666318E-3</v>
      </c>
      <c r="D253" s="127">
        <v>3146.72387695312</v>
      </c>
      <c r="E253" s="56">
        <f t="shared" si="7"/>
        <v>-6.5011870898458168E-3</v>
      </c>
    </row>
    <row r="254" spans="1:5" x14ac:dyDescent="0.3">
      <c r="A254" s="126">
        <v>44622</v>
      </c>
      <c r="B254" s="127">
        <v>16605.94921875</v>
      </c>
      <c r="C254" s="56">
        <f t="shared" si="6"/>
        <v>-1.1191633122935585E-2</v>
      </c>
      <c r="D254" s="127">
        <v>3128.5322265625</v>
      </c>
      <c r="E254" s="56">
        <f t="shared" si="7"/>
        <v>-5.7811397192671921E-3</v>
      </c>
    </row>
    <row r="255" spans="1:5" x14ac:dyDescent="0.3">
      <c r="A255" s="126">
        <v>44623</v>
      </c>
      <c r="B255" s="127">
        <v>16498.05078125</v>
      </c>
      <c r="C255" s="56">
        <f t="shared" si="6"/>
        <v>-6.4975772284170397E-3</v>
      </c>
      <c r="D255" s="127">
        <v>3119.556640625</v>
      </c>
      <c r="E255" s="56">
        <f t="shared" si="7"/>
        <v>-2.8689446959483389E-3</v>
      </c>
    </row>
    <row r="256" spans="1:5" x14ac:dyDescent="0.3">
      <c r="A256" s="126">
        <v>44624</v>
      </c>
      <c r="B256" s="127">
        <v>16245.349609375</v>
      </c>
      <c r="C256" s="56">
        <f t="shared" si="6"/>
        <v>-1.5317032007332254E-2</v>
      </c>
      <c r="D256" s="127">
        <v>3049.43115234375</v>
      </c>
      <c r="E256" s="56">
        <f t="shared" si="7"/>
        <v>-2.247931240229073E-2</v>
      </c>
    </row>
    <row r="257" spans="1:5" x14ac:dyDescent="0.3">
      <c r="A257" s="126">
        <v>44627</v>
      </c>
      <c r="B257" s="127">
        <v>15863.150390625</v>
      </c>
      <c r="C257" s="56">
        <f t="shared" si="6"/>
        <v>-2.352668473994779E-2</v>
      </c>
      <c r="D257" s="127">
        <v>3130.74047851562</v>
      </c>
      <c r="E257" s="56">
        <f t="shared" si="7"/>
        <v>2.6663768457070081E-2</v>
      </c>
    </row>
    <row r="258" spans="1:5" x14ac:dyDescent="0.3">
      <c r="A258" s="126">
        <v>44628</v>
      </c>
      <c r="B258" s="127">
        <v>16013.4501953125</v>
      </c>
      <c r="C258" s="56">
        <f t="shared" si="6"/>
        <v>9.4747765094835845E-3</v>
      </c>
      <c r="D258" s="127">
        <v>3134.67651367187</v>
      </c>
      <c r="E258" s="56">
        <f t="shared" si="7"/>
        <v>1.257221792499541E-3</v>
      </c>
    </row>
    <row r="259" spans="1:5" x14ac:dyDescent="0.3">
      <c r="A259" s="126">
        <v>44629</v>
      </c>
      <c r="B259" s="127">
        <v>16345.349609375</v>
      </c>
      <c r="C259" s="56">
        <f t="shared" si="6"/>
        <v>2.0726290088294297E-2</v>
      </c>
      <c r="D259" s="127">
        <v>3145.42797851562</v>
      </c>
      <c r="E259" s="56">
        <f t="shared" si="7"/>
        <v>3.4298482783974293E-3</v>
      </c>
    </row>
    <row r="260" spans="1:5" x14ac:dyDescent="0.3">
      <c r="A260" s="126">
        <v>44630</v>
      </c>
      <c r="B260" s="127">
        <v>16594.900390625</v>
      </c>
      <c r="C260" s="56">
        <f t="shared" si="6"/>
        <v>1.5267387190474491E-2</v>
      </c>
      <c r="D260" s="127">
        <v>3168.17895507812</v>
      </c>
      <c r="E260" s="56">
        <f t="shared" si="7"/>
        <v>7.2330305185486221E-3</v>
      </c>
    </row>
    <row r="261" spans="1:5" x14ac:dyDescent="0.3">
      <c r="A261" s="126">
        <v>44631</v>
      </c>
      <c r="B261" s="127">
        <v>16630.44921875</v>
      </c>
      <c r="C261" s="56">
        <f t="shared" si="6"/>
        <v>2.1421537513466316E-3</v>
      </c>
      <c r="D261" s="127">
        <v>3245.64868164062</v>
      </c>
      <c r="E261" s="56">
        <f t="shared" si="7"/>
        <v>2.4452446550826235E-2</v>
      </c>
    </row>
    <row r="262" spans="1:5" x14ac:dyDescent="0.3">
      <c r="A262" s="126">
        <v>44634</v>
      </c>
      <c r="B262" s="127">
        <v>16871.30078125</v>
      </c>
      <c r="C262" s="56">
        <f t="shared" si="6"/>
        <v>1.4482565042708062E-2</v>
      </c>
      <c r="D262" s="127">
        <v>3245.45629882812</v>
      </c>
      <c r="E262" s="56">
        <f t="shared" si="7"/>
        <v>-5.9274071648074411E-5</v>
      </c>
    </row>
    <row r="263" spans="1:5" x14ac:dyDescent="0.3">
      <c r="A263" s="126">
        <v>44635</v>
      </c>
      <c r="B263" s="127">
        <v>16663</v>
      </c>
      <c r="C263" s="56">
        <f t="shared" ref="C263:C326" si="8">B263/B262-1</f>
        <v>-1.2346456503312231E-2</v>
      </c>
      <c r="D263" s="127">
        <v>3239.5048828125</v>
      </c>
      <c r="E263" s="56">
        <f t="shared" ref="E263:E326" si="9">D263/D262-1</f>
        <v>-1.833768649964207E-3</v>
      </c>
    </row>
    <row r="264" spans="1:5" x14ac:dyDescent="0.3">
      <c r="A264" s="126">
        <v>44636</v>
      </c>
      <c r="B264" s="127">
        <v>16975.349609375</v>
      </c>
      <c r="C264" s="56">
        <f t="shared" si="8"/>
        <v>1.8745100484606647E-2</v>
      </c>
      <c r="D264" s="127">
        <v>3278.19116210937</v>
      </c>
      <c r="E264" s="56">
        <f t="shared" si="9"/>
        <v>1.1942034568962701E-2</v>
      </c>
    </row>
    <row r="265" spans="1:5" x14ac:dyDescent="0.3">
      <c r="A265" s="126">
        <v>44637</v>
      </c>
      <c r="B265" s="127">
        <v>17287.05078125</v>
      </c>
      <c r="C265" s="56">
        <f t="shared" si="8"/>
        <v>1.8361988356508263E-2</v>
      </c>
      <c r="D265" s="127">
        <v>3301.2783203125</v>
      </c>
      <c r="E265" s="56">
        <f t="shared" si="9"/>
        <v>7.0426515909078891E-3</v>
      </c>
    </row>
    <row r="266" spans="1:5" x14ac:dyDescent="0.3">
      <c r="A266" s="126">
        <v>44641</v>
      </c>
      <c r="B266" s="127">
        <v>17117.599609375</v>
      </c>
      <c r="C266" s="56">
        <f t="shared" si="8"/>
        <v>-9.8022024704637056E-3</v>
      </c>
      <c r="D266" s="127">
        <v>3356.86108398437</v>
      </c>
      <c r="E266" s="56">
        <f t="shared" si="9"/>
        <v>1.6836739674408463E-2</v>
      </c>
    </row>
    <row r="267" spans="1:5" x14ac:dyDescent="0.3">
      <c r="A267" s="126">
        <v>44642</v>
      </c>
      <c r="B267" s="127">
        <v>17315.5</v>
      </c>
      <c r="C267" s="56">
        <f t="shared" si="8"/>
        <v>1.1561223252155806E-2</v>
      </c>
      <c r="D267" s="127">
        <v>3408.41040039062</v>
      </c>
      <c r="E267" s="56">
        <f t="shared" si="9"/>
        <v>1.5356404425608261E-2</v>
      </c>
    </row>
    <row r="268" spans="1:5" x14ac:dyDescent="0.3">
      <c r="A268" s="126">
        <v>44643</v>
      </c>
      <c r="B268" s="127">
        <v>17245.650390625</v>
      </c>
      <c r="C268" s="56">
        <f t="shared" si="8"/>
        <v>-4.0339354552280104E-3</v>
      </c>
      <c r="D268" s="127">
        <v>3503.15966796875</v>
      </c>
      <c r="E268" s="56">
        <f t="shared" si="9"/>
        <v>2.7798667545220201E-2</v>
      </c>
    </row>
    <row r="269" spans="1:5" x14ac:dyDescent="0.3">
      <c r="A269" s="126">
        <v>44644</v>
      </c>
      <c r="B269" s="127">
        <v>17222.75</v>
      </c>
      <c r="C269" s="56">
        <f t="shared" si="8"/>
        <v>-1.3278937068936791E-3</v>
      </c>
      <c r="D269" s="127">
        <v>3465.00073242187</v>
      </c>
      <c r="E269" s="56">
        <f t="shared" si="9"/>
        <v>-1.0892719477158752E-2</v>
      </c>
    </row>
    <row r="270" spans="1:5" x14ac:dyDescent="0.3">
      <c r="A270" s="126">
        <v>44645</v>
      </c>
      <c r="B270" s="127">
        <v>17153</v>
      </c>
      <c r="C270" s="56">
        <f t="shared" si="8"/>
        <v>-4.049875890900112E-3</v>
      </c>
      <c r="D270" s="127">
        <v>3475.46435546875</v>
      </c>
      <c r="E270" s="56">
        <f t="shared" si="9"/>
        <v>3.0198039928166498E-3</v>
      </c>
    </row>
    <row r="271" spans="1:5" x14ac:dyDescent="0.3">
      <c r="A271" s="126">
        <v>44648</v>
      </c>
      <c r="B271" s="127">
        <v>17222</v>
      </c>
      <c r="C271" s="56">
        <f t="shared" si="8"/>
        <v>4.0226199498629711E-3</v>
      </c>
      <c r="D271" s="127">
        <v>3460.24951171875</v>
      </c>
      <c r="E271" s="56">
        <f t="shared" si="9"/>
        <v>-4.3777873095026676E-3</v>
      </c>
    </row>
    <row r="272" spans="1:5" x14ac:dyDescent="0.3">
      <c r="A272" s="126">
        <v>44649</v>
      </c>
      <c r="B272" s="127">
        <v>17325.30078125</v>
      </c>
      <c r="C272" s="56">
        <f t="shared" si="8"/>
        <v>5.9981872749970133E-3</v>
      </c>
      <c r="D272" s="127">
        <v>3513.958984375</v>
      </c>
      <c r="E272" s="56">
        <f t="shared" si="9"/>
        <v>1.5521849645337316E-2</v>
      </c>
    </row>
    <row r="273" spans="1:5" x14ac:dyDescent="0.3">
      <c r="A273" s="126">
        <v>44650</v>
      </c>
      <c r="B273" s="127">
        <v>17498.25</v>
      </c>
      <c r="C273" s="56">
        <f t="shared" si="8"/>
        <v>9.9824655821947328E-3</v>
      </c>
      <c r="D273" s="127">
        <v>3521.06274414062</v>
      </c>
      <c r="E273" s="56">
        <f t="shared" si="9"/>
        <v>2.0215830057228601E-3</v>
      </c>
    </row>
    <row r="274" spans="1:5" x14ac:dyDescent="0.3">
      <c r="A274" s="126">
        <v>44651</v>
      </c>
      <c r="B274" s="127">
        <v>17464.75</v>
      </c>
      <c r="C274" s="56">
        <f t="shared" si="8"/>
        <v>-1.9144771620018819E-3</v>
      </c>
      <c r="D274" s="127">
        <v>3475.75244140625</v>
      </c>
      <c r="E274" s="56">
        <f t="shared" si="9"/>
        <v>-1.2868359931890061E-2</v>
      </c>
    </row>
    <row r="275" spans="1:5" x14ac:dyDescent="0.3">
      <c r="A275" s="126">
        <v>44652</v>
      </c>
      <c r="B275" s="127">
        <v>17670.44921875</v>
      </c>
      <c r="C275" s="56">
        <f t="shared" si="8"/>
        <v>1.1777965258592316E-2</v>
      </c>
      <c r="D275" s="127">
        <v>3353.35693359375</v>
      </c>
      <c r="E275" s="56">
        <f t="shared" si="9"/>
        <v>-3.521410396045932E-2</v>
      </c>
    </row>
    <row r="276" spans="1:5" x14ac:dyDescent="0.3">
      <c r="A276" s="126">
        <v>44655</v>
      </c>
      <c r="B276" s="127">
        <v>18053.400390625</v>
      </c>
      <c r="C276" s="56">
        <f t="shared" si="8"/>
        <v>2.1671841339984343E-2</v>
      </c>
      <c r="D276" s="127">
        <v>3335.59716796875</v>
      </c>
      <c r="E276" s="56">
        <f t="shared" si="9"/>
        <v>-5.2961154976028935E-3</v>
      </c>
    </row>
    <row r="277" spans="1:5" x14ac:dyDescent="0.3">
      <c r="A277" s="126">
        <v>44656</v>
      </c>
      <c r="B277" s="127">
        <v>17957.400390625</v>
      </c>
      <c r="C277" s="56">
        <f t="shared" si="8"/>
        <v>-5.3175577964720278E-3</v>
      </c>
      <c r="D277" s="127">
        <v>3354.50854492187</v>
      </c>
      <c r="E277" s="56">
        <f t="shared" si="9"/>
        <v>5.669562600281397E-3</v>
      </c>
    </row>
    <row r="278" spans="1:5" x14ac:dyDescent="0.3">
      <c r="A278" s="126">
        <v>44657</v>
      </c>
      <c r="B278" s="127">
        <v>17807.650390625</v>
      </c>
      <c r="C278" s="56">
        <f t="shared" si="8"/>
        <v>-8.3391803235717266E-3</v>
      </c>
      <c r="D278" s="127">
        <v>3353.98071289062</v>
      </c>
      <c r="E278" s="56">
        <f t="shared" si="9"/>
        <v>-1.5735003330041852E-4</v>
      </c>
    </row>
    <row r="279" spans="1:5" x14ac:dyDescent="0.3">
      <c r="A279" s="126">
        <v>44658</v>
      </c>
      <c r="B279" s="127">
        <v>17639.55078125</v>
      </c>
      <c r="C279" s="56">
        <f t="shared" si="8"/>
        <v>-9.4397411049521596E-3</v>
      </c>
      <c r="D279" s="127">
        <v>3362.8603515625</v>
      </c>
      <c r="E279" s="56">
        <f t="shared" si="9"/>
        <v>2.6474924670114586E-3</v>
      </c>
    </row>
    <row r="280" spans="1:5" x14ac:dyDescent="0.3">
      <c r="A280" s="126">
        <v>44659</v>
      </c>
      <c r="B280" s="127">
        <v>17784.349609375</v>
      </c>
      <c r="C280" s="56">
        <f t="shared" si="8"/>
        <v>8.2087593907955725E-3</v>
      </c>
      <c r="D280" s="127">
        <v>3333.62915039062</v>
      </c>
      <c r="E280" s="56">
        <f t="shared" si="9"/>
        <v>-8.6923624878738615E-3</v>
      </c>
    </row>
    <row r="281" spans="1:5" x14ac:dyDescent="0.3">
      <c r="A281" s="126">
        <v>44662</v>
      </c>
      <c r="B281" s="127">
        <v>17674.94921875</v>
      </c>
      <c r="C281" s="56">
        <f t="shared" si="8"/>
        <v>-6.1514979759130783E-3</v>
      </c>
      <c r="D281" s="127">
        <v>3337.94897460937</v>
      </c>
      <c r="E281" s="56">
        <f t="shared" si="9"/>
        <v>1.2958322668386035E-3</v>
      </c>
    </row>
    <row r="282" spans="1:5" x14ac:dyDescent="0.3">
      <c r="A282" s="126">
        <v>44663</v>
      </c>
      <c r="B282" s="127">
        <v>17530.30078125</v>
      </c>
      <c r="C282" s="56">
        <f t="shared" si="8"/>
        <v>-8.1838106412522871E-3</v>
      </c>
      <c r="D282" s="127">
        <v>3313.56591796875</v>
      </c>
      <c r="E282" s="56">
        <f t="shared" si="9"/>
        <v>-7.3048020883762499E-3</v>
      </c>
    </row>
    <row r="283" spans="1:5" x14ac:dyDescent="0.3">
      <c r="A283" s="126">
        <v>44664</v>
      </c>
      <c r="B283" s="127">
        <v>17475.650390625</v>
      </c>
      <c r="C283" s="56">
        <f t="shared" si="8"/>
        <v>-3.1174816283502382E-3</v>
      </c>
      <c r="D283" s="127">
        <v>3283.32690429687</v>
      </c>
      <c r="E283" s="56">
        <f t="shared" si="9"/>
        <v>-9.1258222774143194E-3</v>
      </c>
    </row>
    <row r="284" spans="1:5" x14ac:dyDescent="0.3">
      <c r="A284" s="126">
        <v>44669</v>
      </c>
      <c r="B284" s="127">
        <v>17173.650390625</v>
      </c>
      <c r="C284" s="56">
        <f t="shared" si="8"/>
        <v>-1.7281188010147552E-2</v>
      </c>
      <c r="D284" s="127">
        <v>3306.46240234375</v>
      </c>
      <c r="E284" s="56">
        <f t="shared" si="9"/>
        <v>7.0463583801547713E-3</v>
      </c>
    </row>
    <row r="285" spans="1:5" x14ac:dyDescent="0.3">
      <c r="A285" s="126">
        <v>44670</v>
      </c>
      <c r="B285" s="127">
        <v>16958.650390625</v>
      </c>
      <c r="C285" s="56">
        <f t="shared" si="8"/>
        <v>-1.2519178806467801E-2</v>
      </c>
      <c r="D285" s="127">
        <v>3239.74462890625</v>
      </c>
      <c r="E285" s="56">
        <f t="shared" si="9"/>
        <v>-2.0177992464153749E-2</v>
      </c>
    </row>
    <row r="286" spans="1:5" x14ac:dyDescent="0.3">
      <c r="A286" s="126">
        <v>44671</v>
      </c>
      <c r="B286" s="127">
        <v>17136.55078125</v>
      </c>
      <c r="C286" s="56">
        <f t="shared" si="8"/>
        <v>1.0490244596548015E-2</v>
      </c>
      <c r="D286" s="127">
        <v>3269.935546875</v>
      </c>
      <c r="E286" s="56">
        <f t="shared" si="9"/>
        <v>9.3189190590441395E-3</v>
      </c>
    </row>
    <row r="287" spans="1:5" x14ac:dyDescent="0.3">
      <c r="A287" s="126">
        <v>44672</v>
      </c>
      <c r="B287" s="127">
        <v>17392.599609375</v>
      </c>
      <c r="C287" s="56">
        <f t="shared" si="8"/>
        <v>1.4941678252146096E-2</v>
      </c>
      <c r="D287" s="127">
        <v>3267.87109375</v>
      </c>
      <c r="E287" s="56">
        <f t="shared" si="9"/>
        <v>-6.3134367494577237E-4</v>
      </c>
    </row>
    <row r="288" spans="1:5" x14ac:dyDescent="0.3">
      <c r="A288" s="126">
        <v>44673</v>
      </c>
      <c r="B288" s="127">
        <v>17171.94921875</v>
      </c>
      <c r="C288" s="56">
        <f t="shared" si="8"/>
        <v>-1.2686452605167986E-2</v>
      </c>
      <c r="D288" s="127">
        <v>3235.7607421875</v>
      </c>
      <c r="E288" s="56">
        <f t="shared" si="9"/>
        <v>-9.8260765621731583E-3</v>
      </c>
    </row>
    <row r="289" spans="1:5" x14ac:dyDescent="0.3">
      <c r="A289" s="126">
        <v>44676</v>
      </c>
      <c r="B289" s="127">
        <v>16953.94921875</v>
      </c>
      <c r="C289" s="56">
        <f t="shared" si="8"/>
        <v>-1.2695122564301942E-2</v>
      </c>
      <c r="D289" s="127">
        <v>3178.40258789062</v>
      </c>
      <c r="E289" s="56">
        <f t="shared" si="9"/>
        <v>-1.7726327397774022E-2</v>
      </c>
    </row>
    <row r="290" spans="1:5" x14ac:dyDescent="0.3">
      <c r="A290" s="126">
        <v>44677</v>
      </c>
      <c r="B290" s="127">
        <v>17200.80078125</v>
      </c>
      <c r="C290" s="56">
        <f t="shared" si="8"/>
        <v>1.4560121616207233E-2</v>
      </c>
      <c r="D290" s="127">
        <v>3173.41088867187</v>
      </c>
      <c r="E290" s="56">
        <f t="shared" si="9"/>
        <v>-1.570505648896714E-3</v>
      </c>
    </row>
    <row r="291" spans="1:5" x14ac:dyDescent="0.3">
      <c r="A291" s="126">
        <v>44678</v>
      </c>
      <c r="B291" s="127">
        <v>17038.400390625</v>
      </c>
      <c r="C291" s="56">
        <f t="shared" si="8"/>
        <v>-9.4414436101153409E-3</v>
      </c>
      <c r="D291" s="127">
        <v>3168.46728515625</v>
      </c>
      <c r="E291" s="56">
        <f t="shared" si="9"/>
        <v>-1.5578201780510614E-3</v>
      </c>
    </row>
    <row r="292" spans="1:5" x14ac:dyDescent="0.3">
      <c r="A292" s="126">
        <v>44679</v>
      </c>
      <c r="B292" s="127">
        <v>17245.05078125</v>
      </c>
      <c r="C292" s="56">
        <f t="shared" si="8"/>
        <v>1.2128508890934642E-2</v>
      </c>
      <c r="D292" s="127">
        <v>3167.74731445312</v>
      </c>
      <c r="E292" s="56">
        <f t="shared" si="9"/>
        <v>-2.272299627340546E-4</v>
      </c>
    </row>
    <row r="293" spans="1:5" x14ac:dyDescent="0.3">
      <c r="A293" s="126">
        <v>44680</v>
      </c>
      <c r="B293" s="127">
        <v>17102.55078125</v>
      </c>
      <c r="C293" s="56">
        <f t="shared" si="8"/>
        <v>-8.2632403816946809E-3</v>
      </c>
      <c r="D293" s="127">
        <v>3120.27661132812</v>
      </c>
      <c r="E293" s="56">
        <f t="shared" si="9"/>
        <v>-1.4985634399691805E-2</v>
      </c>
    </row>
    <row r="294" spans="1:5" x14ac:dyDescent="0.3">
      <c r="A294" s="126">
        <v>44683</v>
      </c>
      <c r="B294" s="127">
        <v>17069.099609375</v>
      </c>
      <c r="C294" s="56">
        <f t="shared" si="8"/>
        <v>-1.9559171203674675E-3</v>
      </c>
      <c r="D294" s="127">
        <v>3141.77978515625</v>
      </c>
      <c r="E294" s="56">
        <f t="shared" si="9"/>
        <v>6.8914319166650806E-3</v>
      </c>
    </row>
    <row r="295" spans="1:5" x14ac:dyDescent="0.3">
      <c r="A295" s="126">
        <v>44685</v>
      </c>
      <c r="B295" s="127">
        <v>16677.599609375</v>
      </c>
      <c r="C295" s="56">
        <f t="shared" si="8"/>
        <v>-2.2936183451936376E-2</v>
      </c>
      <c r="D295" s="127">
        <v>3063.15844726562</v>
      </c>
      <c r="E295" s="56">
        <f t="shared" si="9"/>
        <v>-2.5024458513001724E-2</v>
      </c>
    </row>
    <row r="296" spans="1:5" x14ac:dyDescent="0.3">
      <c r="A296" s="126">
        <v>44686</v>
      </c>
      <c r="B296" s="127">
        <v>16682.650390625</v>
      </c>
      <c r="C296" s="56">
        <f t="shared" si="8"/>
        <v>3.0284821366977077E-4</v>
      </c>
      <c r="D296" s="127">
        <v>3042.9033203125</v>
      </c>
      <c r="E296" s="56">
        <f t="shared" si="9"/>
        <v>-6.6124972970957874E-3</v>
      </c>
    </row>
    <row r="297" spans="1:5" x14ac:dyDescent="0.3">
      <c r="A297" s="126">
        <v>44687</v>
      </c>
      <c r="B297" s="127">
        <v>16411.25</v>
      </c>
      <c r="C297" s="56">
        <f t="shared" si="8"/>
        <v>-1.6268421639856201E-2</v>
      </c>
      <c r="D297" s="127">
        <v>2967.7861328125</v>
      </c>
      <c r="E297" s="56">
        <f t="shared" si="9"/>
        <v>-2.4686025020435265E-2</v>
      </c>
    </row>
    <row r="298" spans="1:5" x14ac:dyDescent="0.3">
      <c r="A298" s="126">
        <v>44690</v>
      </c>
      <c r="B298" s="127">
        <v>16301.849609375</v>
      </c>
      <c r="C298" s="56">
        <f t="shared" si="8"/>
        <v>-6.6661826871809993E-3</v>
      </c>
      <c r="D298" s="127">
        <v>2961.30615234375</v>
      </c>
      <c r="E298" s="56">
        <f t="shared" si="9"/>
        <v>-2.1834391626491811E-3</v>
      </c>
    </row>
    <row r="299" spans="1:5" x14ac:dyDescent="0.3">
      <c r="A299" s="126">
        <v>44691</v>
      </c>
      <c r="B299" s="127">
        <v>16240.0498046875</v>
      </c>
      <c r="C299" s="56">
        <f t="shared" si="8"/>
        <v>-3.7909688880922721E-3</v>
      </c>
      <c r="D299" s="127">
        <v>2852.58959960937</v>
      </c>
      <c r="E299" s="56">
        <f t="shared" si="9"/>
        <v>-3.6712365132640978E-2</v>
      </c>
    </row>
    <row r="300" spans="1:5" x14ac:dyDescent="0.3">
      <c r="A300" s="126">
        <v>44692</v>
      </c>
      <c r="B300" s="127">
        <v>16167.099609375</v>
      </c>
      <c r="C300" s="56">
        <f t="shared" si="8"/>
        <v>-4.4919933245182175E-3</v>
      </c>
      <c r="D300" s="127">
        <v>2824.6064453125</v>
      </c>
      <c r="E300" s="56">
        <f t="shared" si="9"/>
        <v>-9.8097371948288048E-3</v>
      </c>
    </row>
    <row r="301" spans="1:5" x14ac:dyDescent="0.3">
      <c r="A301" s="126">
        <v>44693</v>
      </c>
      <c r="B301" s="127">
        <v>15808</v>
      </c>
      <c r="C301" s="56">
        <f t="shared" si="8"/>
        <v>-2.2211752141785834E-2</v>
      </c>
      <c r="D301" s="127">
        <v>2837.08618164062</v>
      </c>
      <c r="E301" s="56">
        <f t="shared" si="9"/>
        <v>4.4182212884313898E-3</v>
      </c>
    </row>
    <row r="302" spans="1:5" x14ac:dyDescent="0.3">
      <c r="A302" s="126">
        <v>44694</v>
      </c>
      <c r="B302" s="127">
        <v>15782.150390625</v>
      </c>
      <c r="C302" s="56">
        <f t="shared" si="8"/>
        <v>-1.6352232651188903E-3</v>
      </c>
      <c r="D302" s="127">
        <v>2789.42431640625</v>
      </c>
      <c r="E302" s="56">
        <f t="shared" si="9"/>
        <v>-1.6799583157818709E-2</v>
      </c>
    </row>
    <row r="303" spans="1:5" x14ac:dyDescent="0.3">
      <c r="A303" s="126">
        <v>44697</v>
      </c>
      <c r="B303" s="127">
        <v>15842.2998046875</v>
      </c>
      <c r="C303" s="56">
        <f t="shared" si="8"/>
        <v>3.8112305721171857E-3</v>
      </c>
      <c r="D303" s="127">
        <v>2790.0478515625</v>
      </c>
      <c r="E303" s="56">
        <f t="shared" si="9"/>
        <v>2.2353542721442743E-4</v>
      </c>
    </row>
    <row r="304" spans="1:5" x14ac:dyDescent="0.3">
      <c r="A304" s="126">
        <v>44698</v>
      </c>
      <c r="B304" s="127">
        <v>16259.2998046875</v>
      </c>
      <c r="C304" s="56">
        <f t="shared" si="8"/>
        <v>2.6321935902047233E-2</v>
      </c>
      <c r="D304" s="127">
        <v>2786.54418945312</v>
      </c>
      <c r="E304" s="56">
        <f t="shared" si="9"/>
        <v>-1.2557713328887887E-3</v>
      </c>
    </row>
    <row r="305" spans="1:5" x14ac:dyDescent="0.3">
      <c r="A305" s="126">
        <v>44699</v>
      </c>
      <c r="B305" s="127">
        <v>16240.2998046875</v>
      </c>
      <c r="C305" s="56">
        <f t="shared" si="8"/>
        <v>-1.1685620062508173E-3</v>
      </c>
      <c r="D305" s="127">
        <v>2827.19873046875</v>
      </c>
      <c r="E305" s="56">
        <f t="shared" si="9"/>
        <v>1.4589591354590592E-2</v>
      </c>
    </row>
    <row r="306" spans="1:5" x14ac:dyDescent="0.3">
      <c r="A306" s="126">
        <v>44700</v>
      </c>
      <c r="B306" s="127">
        <v>15809.400390625</v>
      </c>
      <c r="C306" s="56">
        <f t="shared" si="8"/>
        <v>-2.6532725334179386E-2</v>
      </c>
      <c r="D306" s="127">
        <v>2800.31982421875</v>
      </c>
      <c r="E306" s="56">
        <f t="shared" si="9"/>
        <v>-9.507257470203867E-3</v>
      </c>
    </row>
    <row r="307" spans="1:5" x14ac:dyDescent="0.3">
      <c r="A307" s="126">
        <v>44701</v>
      </c>
      <c r="B307" s="127">
        <v>16266.150390625</v>
      </c>
      <c r="C307" s="56">
        <f t="shared" si="8"/>
        <v>2.8891038794289337E-2</v>
      </c>
      <c r="D307" s="127">
        <v>2882.49291992187</v>
      </c>
      <c r="E307" s="56">
        <f t="shared" si="9"/>
        <v>2.9344182401038754E-2</v>
      </c>
    </row>
    <row r="308" spans="1:5" x14ac:dyDescent="0.3">
      <c r="A308" s="126">
        <v>44704</v>
      </c>
      <c r="B308" s="127">
        <v>16214.7001953125</v>
      </c>
      <c r="C308" s="56">
        <f t="shared" si="8"/>
        <v>-3.1630222318707046E-3</v>
      </c>
      <c r="D308" s="127">
        <v>2866.7490234375</v>
      </c>
      <c r="E308" s="56">
        <f t="shared" si="9"/>
        <v>-5.4619029158956556E-3</v>
      </c>
    </row>
    <row r="309" spans="1:5" x14ac:dyDescent="0.3">
      <c r="A309" s="126">
        <v>44705</v>
      </c>
      <c r="B309" s="127">
        <v>16125.150390625</v>
      </c>
      <c r="C309" s="56">
        <f t="shared" si="8"/>
        <v>-5.5227542667355412E-3</v>
      </c>
      <c r="D309" s="127">
        <v>2813.80712890625</v>
      </c>
      <c r="E309" s="56">
        <f t="shared" si="9"/>
        <v>-1.8467572186618431E-2</v>
      </c>
    </row>
    <row r="310" spans="1:5" x14ac:dyDescent="0.3">
      <c r="A310" s="126">
        <v>44706</v>
      </c>
      <c r="B310" s="127">
        <v>16025.7998046875</v>
      </c>
      <c r="C310" s="56">
        <f t="shared" si="8"/>
        <v>-6.1612191843656294E-3</v>
      </c>
      <c r="D310" s="127">
        <v>2849.32592773437</v>
      </c>
      <c r="E310" s="56">
        <f t="shared" si="9"/>
        <v>1.2623039604682029E-2</v>
      </c>
    </row>
    <row r="311" spans="1:5" x14ac:dyDescent="0.3">
      <c r="A311" s="126">
        <v>44707</v>
      </c>
      <c r="B311" s="127">
        <v>16170.150390625</v>
      </c>
      <c r="C311" s="56">
        <f t="shared" si="8"/>
        <v>9.007387318995308E-3</v>
      </c>
      <c r="D311" s="127">
        <v>2902.94018554687</v>
      </c>
      <c r="E311" s="56">
        <f t="shared" si="9"/>
        <v>1.8816470692466947E-2</v>
      </c>
    </row>
    <row r="312" spans="1:5" x14ac:dyDescent="0.3">
      <c r="A312" s="126">
        <v>44708</v>
      </c>
      <c r="B312" s="127">
        <v>16352.4501953125</v>
      </c>
      <c r="C312" s="56">
        <f t="shared" si="8"/>
        <v>1.1273847198922216E-2</v>
      </c>
      <c r="D312" s="127">
        <v>2921.5634765625</v>
      </c>
      <c r="E312" s="56">
        <f t="shared" si="9"/>
        <v>6.4153202702388334E-3</v>
      </c>
    </row>
    <row r="313" spans="1:5" x14ac:dyDescent="0.3">
      <c r="A313" s="126">
        <v>44711</v>
      </c>
      <c r="B313" s="127">
        <v>16661.400390625</v>
      </c>
      <c r="C313" s="56">
        <f t="shared" si="8"/>
        <v>1.8893205092962884E-2</v>
      </c>
      <c r="D313" s="127">
        <v>2954.05834960937</v>
      </c>
      <c r="E313" s="56">
        <f t="shared" si="9"/>
        <v>1.1122425820130788E-2</v>
      </c>
    </row>
    <row r="314" spans="1:5" x14ac:dyDescent="0.3">
      <c r="A314" s="126">
        <v>44712</v>
      </c>
      <c r="B314" s="127">
        <v>16584.55078125</v>
      </c>
      <c r="C314" s="56">
        <f t="shared" si="8"/>
        <v>-4.612433983534836E-3</v>
      </c>
      <c r="D314" s="127">
        <v>3022.98388671875</v>
      </c>
      <c r="E314" s="56">
        <f t="shared" si="9"/>
        <v>2.3332490070311129E-2</v>
      </c>
    </row>
    <row r="315" spans="1:5" x14ac:dyDescent="0.3">
      <c r="A315" s="126">
        <v>44713</v>
      </c>
      <c r="B315" s="127">
        <v>16522.75</v>
      </c>
      <c r="C315" s="56">
        <f t="shared" si="8"/>
        <v>-3.7264067061659745E-3</v>
      </c>
      <c r="D315" s="127">
        <v>2988.37719726562</v>
      </c>
      <c r="E315" s="56">
        <f t="shared" si="9"/>
        <v>-1.1447857729302457E-2</v>
      </c>
    </row>
    <row r="316" spans="1:5" x14ac:dyDescent="0.3">
      <c r="A316" s="126">
        <v>44714</v>
      </c>
      <c r="B316" s="127">
        <v>16628</v>
      </c>
      <c r="C316" s="56">
        <f t="shared" si="8"/>
        <v>6.3700049931154634E-3</v>
      </c>
      <c r="D316" s="127">
        <v>2966.25</v>
      </c>
      <c r="E316" s="56">
        <f t="shared" si="9"/>
        <v>-7.404419122815753E-3</v>
      </c>
    </row>
    <row r="317" spans="1:5" x14ac:dyDescent="0.3">
      <c r="A317" s="126">
        <v>44715</v>
      </c>
      <c r="B317" s="127">
        <v>16584.30078125</v>
      </c>
      <c r="C317" s="56">
        <f t="shared" si="8"/>
        <v>-2.6280502014673912E-3</v>
      </c>
      <c r="D317" s="127">
        <v>2976.32983398437</v>
      </c>
      <c r="E317" s="56">
        <f t="shared" si="9"/>
        <v>3.3981741203101823E-3</v>
      </c>
    </row>
    <row r="318" spans="1:5" x14ac:dyDescent="0.3">
      <c r="A318" s="126">
        <v>44718</v>
      </c>
      <c r="B318" s="127">
        <v>16569.55078125</v>
      </c>
      <c r="C318" s="56">
        <f t="shared" si="8"/>
        <v>-8.8939535012988458E-4</v>
      </c>
      <c r="D318" s="127">
        <v>2989.14526367187</v>
      </c>
      <c r="E318" s="56">
        <f t="shared" si="9"/>
        <v>4.3057827600860854E-3</v>
      </c>
    </row>
    <row r="319" spans="1:5" x14ac:dyDescent="0.3">
      <c r="A319" s="126">
        <v>44719</v>
      </c>
      <c r="B319" s="127">
        <v>16416.349609375</v>
      </c>
      <c r="C319" s="56">
        <f t="shared" si="8"/>
        <v>-9.2459460064759913E-3</v>
      </c>
      <c r="D319" s="127">
        <v>3015.20825195312</v>
      </c>
      <c r="E319" s="56">
        <f t="shared" si="9"/>
        <v>8.7192110059028938E-3</v>
      </c>
    </row>
    <row r="320" spans="1:5" x14ac:dyDescent="0.3">
      <c r="A320" s="126">
        <v>44720</v>
      </c>
      <c r="B320" s="127">
        <v>16356.25</v>
      </c>
      <c r="C320" s="56">
        <f t="shared" si="8"/>
        <v>-3.6609606157923524E-3</v>
      </c>
      <c r="D320" s="127">
        <v>3032.43969726562</v>
      </c>
      <c r="E320" s="56">
        <f t="shared" si="9"/>
        <v>5.7148441741423639E-3</v>
      </c>
    </row>
    <row r="321" spans="1:5" x14ac:dyDescent="0.3">
      <c r="A321" s="126">
        <v>44721</v>
      </c>
      <c r="B321" s="127">
        <v>16478.099609375</v>
      </c>
      <c r="C321" s="56">
        <f t="shared" si="8"/>
        <v>7.4497277416889496E-3</v>
      </c>
      <c r="D321" s="127">
        <v>3014.10400390625</v>
      </c>
      <c r="E321" s="56">
        <f t="shared" si="9"/>
        <v>-6.0465154099860197E-3</v>
      </c>
    </row>
    <row r="322" spans="1:5" x14ac:dyDescent="0.3">
      <c r="A322" s="126">
        <v>44722</v>
      </c>
      <c r="B322" s="127">
        <v>16201.7998046875</v>
      </c>
      <c r="C322" s="56">
        <f t="shared" si="8"/>
        <v>-1.6767698414100085E-2</v>
      </c>
      <c r="D322" s="127">
        <v>3009.54467773437</v>
      </c>
      <c r="E322" s="56">
        <f t="shared" si="9"/>
        <v>-1.5126638516690383E-3</v>
      </c>
    </row>
    <row r="323" spans="1:5" x14ac:dyDescent="0.3">
      <c r="A323" s="126">
        <v>44725</v>
      </c>
      <c r="B323" s="127">
        <v>15774.400390625</v>
      </c>
      <c r="C323" s="56">
        <f t="shared" si="8"/>
        <v>-2.6379749115209128E-2</v>
      </c>
      <c r="D323" s="127">
        <v>2970.52197265625</v>
      </c>
      <c r="E323" s="56">
        <f t="shared" si="9"/>
        <v>-1.2966315259189565E-2</v>
      </c>
    </row>
    <row r="324" spans="1:5" x14ac:dyDescent="0.3">
      <c r="A324" s="126">
        <v>44726</v>
      </c>
      <c r="B324" s="127">
        <v>15732.099609375</v>
      </c>
      <c r="C324" s="56">
        <f t="shared" si="8"/>
        <v>-2.6816094559853898E-3</v>
      </c>
      <c r="D324" s="127">
        <v>2949.642578125</v>
      </c>
      <c r="E324" s="56">
        <f t="shared" si="9"/>
        <v>-7.0288638574114159E-3</v>
      </c>
    </row>
    <row r="325" spans="1:5" x14ac:dyDescent="0.3">
      <c r="A325" s="126">
        <v>44727</v>
      </c>
      <c r="B325" s="127">
        <v>15692.150390625</v>
      </c>
      <c r="C325" s="56">
        <f t="shared" si="8"/>
        <v>-2.5393443813560568E-3</v>
      </c>
      <c r="D325" s="127">
        <v>2976.857421875</v>
      </c>
      <c r="E325" s="56">
        <f t="shared" si="9"/>
        <v>9.2264886436850269E-3</v>
      </c>
    </row>
    <row r="326" spans="1:5" x14ac:dyDescent="0.3">
      <c r="A326" s="126">
        <v>44728</v>
      </c>
      <c r="B326" s="127">
        <v>15360.599609375</v>
      </c>
      <c r="C326" s="56">
        <f t="shared" si="8"/>
        <v>-2.1128447854290244E-2</v>
      </c>
      <c r="D326" s="127">
        <v>2929.1953125</v>
      </c>
      <c r="E326" s="56">
        <f t="shared" si="9"/>
        <v>-1.6010880811678119E-2</v>
      </c>
    </row>
    <row r="327" spans="1:5" x14ac:dyDescent="0.3">
      <c r="A327" s="126">
        <v>44729</v>
      </c>
      <c r="B327" s="127">
        <v>15293.5</v>
      </c>
      <c r="C327" s="56">
        <f t="shared" ref="C327:C390" si="10">B327/B326-1</f>
        <v>-4.3682936266399297E-3</v>
      </c>
      <c r="D327" s="127">
        <v>2974.31396484375</v>
      </c>
      <c r="E327" s="56">
        <f t="shared" ref="E327:E390" si="11">D327/D326-1</f>
        <v>1.5403087718736774E-2</v>
      </c>
    </row>
    <row r="328" spans="1:5" x14ac:dyDescent="0.3">
      <c r="A328" s="126">
        <v>44732</v>
      </c>
      <c r="B328" s="127">
        <v>15350.150390625</v>
      </c>
      <c r="C328" s="56">
        <f t="shared" si="10"/>
        <v>3.7042135956451006E-3</v>
      </c>
      <c r="D328" s="127">
        <v>2993.36865234375</v>
      </c>
      <c r="E328" s="56">
        <f t="shared" si="11"/>
        <v>6.4064142942625857E-3</v>
      </c>
    </row>
    <row r="329" spans="1:5" x14ac:dyDescent="0.3">
      <c r="A329" s="126">
        <v>44733</v>
      </c>
      <c r="B329" s="127">
        <v>15638.7998046875</v>
      </c>
      <c r="C329" s="56">
        <f t="shared" si="10"/>
        <v>1.8804337854487096E-2</v>
      </c>
      <c r="D329" s="127">
        <v>2952.5703125</v>
      </c>
      <c r="E329" s="56">
        <f t="shared" si="11"/>
        <v>-1.3629574095995745E-2</v>
      </c>
    </row>
    <row r="330" spans="1:5" x14ac:dyDescent="0.3">
      <c r="A330" s="126">
        <v>44734</v>
      </c>
      <c r="B330" s="127">
        <v>15413.2998046875</v>
      </c>
      <c r="C330" s="56">
        <f t="shared" si="10"/>
        <v>-1.4419265085317434E-2</v>
      </c>
      <c r="D330" s="127">
        <v>2860.70166015625</v>
      </c>
      <c r="E330" s="56">
        <f t="shared" si="11"/>
        <v>-3.1114805955615998E-2</v>
      </c>
    </row>
    <row r="331" spans="1:5" x14ac:dyDescent="0.3">
      <c r="A331" s="126">
        <v>44735</v>
      </c>
      <c r="B331" s="127">
        <v>15556.650390625</v>
      </c>
      <c r="C331" s="56">
        <f t="shared" si="10"/>
        <v>9.300447519609234E-3</v>
      </c>
      <c r="D331" s="127">
        <v>2912.9716796875</v>
      </c>
      <c r="E331" s="56">
        <f t="shared" si="11"/>
        <v>1.827174789292596E-2</v>
      </c>
    </row>
    <row r="332" spans="1:5" x14ac:dyDescent="0.3">
      <c r="A332" s="126">
        <v>44736</v>
      </c>
      <c r="B332" s="127">
        <v>15699.25</v>
      </c>
      <c r="C332" s="56">
        <f t="shared" si="10"/>
        <v>9.1664725885294285E-3</v>
      </c>
      <c r="D332" s="127">
        <v>2885.03662109375</v>
      </c>
      <c r="E332" s="56">
        <f t="shared" si="11"/>
        <v>-9.5898833444020282E-3</v>
      </c>
    </row>
    <row r="333" spans="1:5" x14ac:dyDescent="0.3">
      <c r="A333" s="126">
        <v>44739</v>
      </c>
      <c r="B333" s="127">
        <v>15832.0498046875</v>
      </c>
      <c r="C333" s="56">
        <f t="shared" si="10"/>
        <v>8.4589903777250175E-3</v>
      </c>
      <c r="D333" s="127">
        <v>2910.81201171875</v>
      </c>
      <c r="E333" s="56">
        <f t="shared" si="11"/>
        <v>8.9341641061140287E-3</v>
      </c>
    </row>
    <row r="334" spans="1:5" x14ac:dyDescent="0.3">
      <c r="A334" s="126">
        <v>44740</v>
      </c>
      <c r="B334" s="127">
        <v>15850.2001953125</v>
      </c>
      <c r="C334" s="56">
        <f t="shared" si="10"/>
        <v>1.1464333961117568E-3</v>
      </c>
      <c r="D334" s="127">
        <v>2862.90942382812</v>
      </c>
      <c r="E334" s="56">
        <f t="shared" si="11"/>
        <v>-1.6456778279661188E-2</v>
      </c>
    </row>
    <row r="335" spans="1:5" x14ac:dyDescent="0.3">
      <c r="A335" s="126">
        <v>44741</v>
      </c>
      <c r="B335" s="127">
        <v>15799.099609375</v>
      </c>
      <c r="C335" s="56">
        <f t="shared" si="10"/>
        <v>-3.2239710103227903E-3</v>
      </c>
      <c r="D335" s="127">
        <v>2847.50244140625</v>
      </c>
      <c r="E335" s="56">
        <f t="shared" si="11"/>
        <v>-5.3815822092159182E-3</v>
      </c>
    </row>
    <row r="336" spans="1:5" x14ac:dyDescent="0.3">
      <c r="A336" s="126">
        <v>44742</v>
      </c>
      <c r="B336" s="127">
        <v>15780.25</v>
      </c>
      <c r="C336" s="56">
        <f t="shared" si="10"/>
        <v>-1.1930812414028269E-3</v>
      </c>
      <c r="D336" s="127">
        <v>2878.50903320312</v>
      </c>
      <c r="E336" s="56">
        <f t="shared" si="11"/>
        <v>1.0889048362521248E-2</v>
      </c>
    </row>
    <row r="337" spans="1:5" x14ac:dyDescent="0.3">
      <c r="A337" s="126">
        <v>44743</v>
      </c>
      <c r="B337" s="127">
        <v>15752.0498046875</v>
      </c>
      <c r="C337" s="56">
        <f t="shared" si="10"/>
        <v>-1.7870563085186086E-3</v>
      </c>
      <c r="D337" s="127">
        <v>2899.38818359375</v>
      </c>
      <c r="E337" s="56">
        <f t="shared" si="11"/>
        <v>7.2534600898563895E-3</v>
      </c>
    </row>
    <row r="338" spans="1:5" x14ac:dyDescent="0.3">
      <c r="A338" s="126">
        <v>44746</v>
      </c>
      <c r="B338" s="127">
        <v>15835.349609375</v>
      </c>
      <c r="C338" s="56">
        <f t="shared" si="10"/>
        <v>5.2881882498054811E-3</v>
      </c>
      <c r="D338" s="127">
        <v>2918.78002929687</v>
      </c>
      <c r="E338" s="56">
        <f t="shared" si="11"/>
        <v>6.6882543747848189E-3</v>
      </c>
    </row>
    <row r="339" spans="1:5" x14ac:dyDescent="0.3">
      <c r="A339" s="126">
        <v>44747</v>
      </c>
      <c r="B339" s="127">
        <v>15810.849609375</v>
      </c>
      <c r="C339" s="56">
        <f t="shared" si="10"/>
        <v>-1.5471713984448465E-3</v>
      </c>
      <c r="D339" s="127">
        <v>2928.13940429687</v>
      </c>
      <c r="E339" s="56">
        <f t="shared" si="11"/>
        <v>3.2066051247632288E-3</v>
      </c>
    </row>
    <row r="340" spans="1:5" x14ac:dyDescent="0.3">
      <c r="A340" s="126">
        <v>44748</v>
      </c>
      <c r="B340" s="127">
        <v>15989.7998046875</v>
      </c>
      <c r="C340" s="56">
        <f t="shared" si="10"/>
        <v>1.1318189707300252E-2</v>
      </c>
      <c r="D340" s="127">
        <v>2954.82641601562</v>
      </c>
      <c r="E340" s="56">
        <f t="shared" si="11"/>
        <v>9.113982646997032E-3</v>
      </c>
    </row>
    <row r="341" spans="1:5" x14ac:dyDescent="0.3">
      <c r="A341" s="126">
        <v>44749</v>
      </c>
      <c r="B341" s="127">
        <v>16132.900390625</v>
      </c>
      <c r="C341" s="56">
        <f t="shared" si="10"/>
        <v>8.9494920315105198E-3</v>
      </c>
      <c r="D341" s="127">
        <v>2982.95336914062</v>
      </c>
      <c r="E341" s="56">
        <f t="shared" si="11"/>
        <v>9.5189866222080699E-3</v>
      </c>
    </row>
    <row r="342" spans="1:5" x14ac:dyDescent="0.3">
      <c r="A342" s="126">
        <v>44750</v>
      </c>
      <c r="B342" s="127">
        <v>16220.599609375</v>
      </c>
      <c r="C342" s="56">
        <f t="shared" si="10"/>
        <v>5.4360478665673728E-3</v>
      </c>
      <c r="D342" s="127">
        <v>2999.80102539062</v>
      </c>
      <c r="E342" s="56">
        <f t="shared" si="11"/>
        <v>5.6479784177296821E-3</v>
      </c>
    </row>
    <row r="343" spans="1:5" x14ac:dyDescent="0.3">
      <c r="A343" s="126">
        <v>44753</v>
      </c>
      <c r="B343" s="127">
        <v>16216</v>
      </c>
      <c r="C343" s="56">
        <f t="shared" si="10"/>
        <v>-2.8356592763323363E-4</v>
      </c>
      <c r="D343" s="127">
        <v>3045.68725585937</v>
      </c>
      <c r="E343" s="56">
        <f t="shared" si="11"/>
        <v>1.5296424689625887E-2</v>
      </c>
    </row>
    <row r="344" spans="1:5" x14ac:dyDescent="0.3">
      <c r="A344" s="126">
        <v>44754</v>
      </c>
      <c r="B344" s="127">
        <v>16058.2998046875</v>
      </c>
      <c r="C344" s="56">
        <f t="shared" si="10"/>
        <v>-9.7249750439381E-3</v>
      </c>
      <c r="D344" s="127">
        <v>2966.5859375</v>
      </c>
      <c r="E344" s="56">
        <f t="shared" si="11"/>
        <v>-2.5971582672250082E-2</v>
      </c>
    </row>
    <row r="345" spans="1:5" x14ac:dyDescent="0.3">
      <c r="A345" s="126">
        <v>44755</v>
      </c>
      <c r="B345" s="127">
        <v>15966.650390625</v>
      </c>
      <c r="C345" s="56">
        <f t="shared" si="10"/>
        <v>-5.7072925015229092E-3</v>
      </c>
      <c r="D345" s="127">
        <v>3014.82421875</v>
      </c>
      <c r="E345" s="56">
        <f t="shared" si="11"/>
        <v>1.6260537286390431E-2</v>
      </c>
    </row>
    <row r="346" spans="1:5" x14ac:dyDescent="0.3">
      <c r="A346" s="126">
        <v>44756</v>
      </c>
      <c r="B346" s="127">
        <v>15938.650390625</v>
      </c>
      <c r="C346" s="56">
        <f t="shared" si="10"/>
        <v>-1.7536552323109689E-3</v>
      </c>
      <c r="D346" s="127">
        <v>3060.99853515625</v>
      </c>
      <c r="E346" s="56">
        <f t="shared" si="11"/>
        <v>1.5315757422631693E-2</v>
      </c>
    </row>
    <row r="347" spans="1:5" x14ac:dyDescent="0.3">
      <c r="A347" s="126">
        <v>44757</v>
      </c>
      <c r="B347" s="127">
        <v>16049.2001953125</v>
      </c>
      <c r="C347" s="56">
        <f t="shared" si="10"/>
        <v>6.9359576863876615E-3</v>
      </c>
      <c r="D347" s="127">
        <v>3083.36596679687</v>
      </c>
      <c r="E347" s="56">
        <f t="shared" si="11"/>
        <v>7.3072336963657669E-3</v>
      </c>
    </row>
    <row r="348" spans="1:5" x14ac:dyDescent="0.3">
      <c r="A348" s="126">
        <v>44760</v>
      </c>
      <c r="B348" s="127">
        <v>16278.5</v>
      </c>
      <c r="C348" s="56">
        <f t="shared" si="10"/>
        <v>1.4287304158276504E-2</v>
      </c>
      <c r="D348" s="127">
        <v>3119.98876953125</v>
      </c>
      <c r="E348" s="56">
        <f t="shared" si="11"/>
        <v>1.187754004187358E-2</v>
      </c>
    </row>
    <row r="349" spans="1:5" x14ac:dyDescent="0.3">
      <c r="A349" s="126">
        <v>44761</v>
      </c>
      <c r="B349" s="127">
        <v>16340.5498046875</v>
      </c>
      <c r="C349" s="56">
        <f t="shared" si="10"/>
        <v>3.811764271124396E-3</v>
      </c>
      <c r="D349" s="127">
        <v>3116.724609375</v>
      </c>
      <c r="E349" s="56">
        <f t="shared" si="11"/>
        <v>-1.0462089441239941E-3</v>
      </c>
    </row>
    <row r="350" spans="1:5" x14ac:dyDescent="0.3">
      <c r="A350" s="126">
        <v>44762</v>
      </c>
      <c r="B350" s="127">
        <v>16520.849609375</v>
      </c>
      <c r="C350" s="56">
        <f t="shared" si="10"/>
        <v>1.1033888506969181E-2</v>
      </c>
      <c r="D350" s="127">
        <v>3068.10229492187</v>
      </c>
      <c r="E350" s="56">
        <f t="shared" si="11"/>
        <v>-1.5600452573472756E-2</v>
      </c>
    </row>
    <row r="351" spans="1:5" x14ac:dyDescent="0.3">
      <c r="A351" s="126">
        <v>44763</v>
      </c>
      <c r="B351" s="127">
        <v>16605.25</v>
      </c>
      <c r="C351" s="56">
        <f t="shared" si="10"/>
        <v>5.1087197462960088E-3</v>
      </c>
      <c r="D351" s="127">
        <v>3086.24609375</v>
      </c>
      <c r="E351" s="56">
        <f t="shared" si="11"/>
        <v>5.9136877079231098E-3</v>
      </c>
    </row>
    <row r="352" spans="1:5" x14ac:dyDescent="0.3">
      <c r="A352" s="126">
        <v>44764</v>
      </c>
      <c r="B352" s="127">
        <v>16719.44921875</v>
      </c>
      <c r="C352" s="56">
        <f t="shared" si="10"/>
        <v>6.8772959606149264E-3</v>
      </c>
      <c r="D352" s="127">
        <v>3046.88696289062</v>
      </c>
      <c r="E352" s="56">
        <f t="shared" si="11"/>
        <v>-1.275307595822861E-2</v>
      </c>
    </row>
    <row r="353" spans="1:5" x14ac:dyDescent="0.3">
      <c r="A353" s="126">
        <v>44767</v>
      </c>
      <c r="B353" s="127">
        <v>16631</v>
      </c>
      <c r="C353" s="56">
        <f t="shared" si="10"/>
        <v>-5.2901993117577817E-3</v>
      </c>
      <c r="D353" s="127">
        <v>2984.63330078125</v>
      </c>
      <c r="E353" s="56">
        <f t="shared" si="11"/>
        <v>-2.0431890932477881E-2</v>
      </c>
    </row>
    <row r="354" spans="1:5" x14ac:dyDescent="0.3">
      <c r="A354" s="126">
        <v>44768</v>
      </c>
      <c r="B354" s="127">
        <v>16483.849609375</v>
      </c>
      <c r="C354" s="56">
        <f t="shared" si="10"/>
        <v>-8.8479580677650604E-3</v>
      </c>
      <c r="D354" s="127">
        <v>2953.57861328125</v>
      </c>
      <c r="E354" s="56">
        <f t="shared" si="11"/>
        <v>-1.0404858610895795E-2</v>
      </c>
    </row>
    <row r="355" spans="1:5" x14ac:dyDescent="0.3">
      <c r="A355" s="126">
        <v>44769</v>
      </c>
      <c r="B355" s="127">
        <v>16641.80078125</v>
      </c>
      <c r="C355" s="56">
        <f t="shared" si="10"/>
        <v>9.5821774414373007E-3</v>
      </c>
      <c r="D355" s="127">
        <v>3010.21630859375</v>
      </c>
      <c r="E355" s="56">
        <f t="shared" si="11"/>
        <v>1.9175956603226796E-2</v>
      </c>
    </row>
    <row r="356" spans="1:5" x14ac:dyDescent="0.3">
      <c r="A356" s="126">
        <v>44770</v>
      </c>
      <c r="B356" s="127">
        <v>16929.599609375</v>
      </c>
      <c r="C356" s="56">
        <f t="shared" si="10"/>
        <v>1.7293731123692924E-2</v>
      </c>
      <c r="D356" s="127">
        <v>3098.48510742187</v>
      </c>
      <c r="E356" s="56">
        <f t="shared" si="11"/>
        <v>2.9323075081390204E-2</v>
      </c>
    </row>
    <row r="357" spans="1:5" x14ac:dyDescent="0.3">
      <c r="A357" s="126">
        <v>44771</v>
      </c>
      <c r="B357" s="127">
        <v>17158.25</v>
      </c>
      <c r="C357" s="56">
        <f t="shared" si="10"/>
        <v>1.3505953826479233E-2</v>
      </c>
      <c r="D357" s="127">
        <v>3096.03735351562</v>
      </c>
      <c r="E357" s="56">
        <f t="shared" si="11"/>
        <v>-7.899840797642721E-4</v>
      </c>
    </row>
    <row r="358" spans="1:5" x14ac:dyDescent="0.3">
      <c r="A358" s="126">
        <v>44774</v>
      </c>
      <c r="B358" s="127">
        <v>17340.05078125</v>
      </c>
      <c r="C358" s="56">
        <f t="shared" si="10"/>
        <v>1.0595531668439406E-2</v>
      </c>
      <c r="D358" s="127">
        <v>3085.67016601562</v>
      </c>
      <c r="E358" s="56">
        <f t="shared" si="11"/>
        <v>-3.3485343735364381E-3</v>
      </c>
    </row>
    <row r="359" spans="1:5" x14ac:dyDescent="0.3">
      <c r="A359" s="126">
        <v>44775</v>
      </c>
      <c r="B359" s="127">
        <v>17345.44921875</v>
      </c>
      <c r="C359" s="56">
        <f t="shared" si="10"/>
        <v>3.11327663805816E-4</v>
      </c>
      <c r="D359" s="127">
        <v>3063.63842773437</v>
      </c>
      <c r="E359" s="56">
        <f t="shared" si="11"/>
        <v>-7.1400172720659238E-3</v>
      </c>
    </row>
    <row r="360" spans="1:5" x14ac:dyDescent="0.3">
      <c r="A360" s="126">
        <v>44776</v>
      </c>
      <c r="B360" s="127">
        <v>17388.150390625</v>
      </c>
      <c r="C360" s="56">
        <f t="shared" si="10"/>
        <v>2.4618083588656692E-3</v>
      </c>
      <c r="D360" s="127">
        <v>2981.5615234375</v>
      </c>
      <c r="E360" s="56">
        <f t="shared" si="11"/>
        <v>-2.679066287778864E-2</v>
      </c>
    </row>
    <row r="361" spans="1:5" x14ac:dyDescent="0.3">
      <c r="A361" s="126">
        <v>44777</v>
      </c>
      <c r="B361" s="127">
        <v>17382</v>
      </c>
      <c r="C361" s="56">
        <f t="shared" si="10"/>
        <v>-3.5371160743558061E-4</v>
      </c>
      <c r="D361" s="127">
        <v>3025.5283203125</v>
      </c>
      <c r="E361" s="56">
        <f t="shared" si="11"/>
        <v>1.4746231640496266E-2</v>
      </c>
    </row>
    <row r="362" spans="1:5" x14ac:dyDescent="0.3">
      <c r="A362" s="126">
        <v>44778</v>
      </c>
      <c r="B362" s="127">
        <v>17397.5</v>
      </c>
      <c r="C362" s="56">
        <f t="shared" si="10"/>
        <v>8.9172707398454953E-4</v>
      </c>
      <c r="D362" s="127">
        <v>2988.18505859375</v>
      </c>
      <c r="E362" s="56">
        <f t="shared" si="11"/>
        <v>-1.2342724233661451E-2</v>
      </c>
    </row>
    <row r="363" spans="1:5" x14ac:dyDescent="0.3">
      <c r="A363" s="126">
        <v>44781</v>
      </c>
      <c r="B363" s="127">
        <v>17525.099609375</v>
      </c>
      <c r="C363" s="56">
        <f t="shared" si="10"/>
        <v>7.3343646716481636E-3</v>
      </c>
      <c r="D363" s="127">
        <v>2868.65966796875</v>
      </c>
      <c r="E363" s="56">
        <f t="shared" si="11"/>
        <v>-3.9999326775714827E-2</v>
      </c>
    </row>
    <row r="364" spans="1:5" x14ac:dyDescent="0.3">
      <c r="A364" s="126">
        <v>44783</v>
      </c>
      <c r="B364" s="127">
        <v>17534.75</v>
      </c>
      <c r="C364" s="56">
        <f t="shared" si="10"/>
        <v>5.506610997998429E-4</v>
      </c>
      <c r="D364" s="127">
        <v>2843.81274414062</v>
      </c>
      <c r="E364" s="56">
        <f t="shared" si="11"/>
        <v>-8.6615098004022562E-3</v>
      </c>
    </row>
    <row r="365" spans="1:5" x14ac:dyDescent="0.3">
      <c r="A365" s="126">
        <v>44784</v>
      </c>
      <c r="B365" s="127">
        <v>17659</v>
      </c>
      <c r="C365" s="56">
        <f t="shared" si="10"/>
        <v>7.0859293688247948E-3</v>
      </c>
      <c r="D365" s="127">
        <v>2859.48046875</v>
      </c>
      <c r="E365" s="56">
        <f t="shared" si="11"/>
        <v>5.5094079740876101E-3</v>
      </c>
    </row>
    <row r="366" spans="1:5" x14ac:dyDescent="0.3">
      <c r="A366" s="126">
        <v>44785</v>
      </c>
      <c r="B366" s="127">
        <v>17698.150390625</v>
      </c>
      <c r="C366" s="56">
        <f t="shared" si="10"/>
        <v>2.2170219505635025E-3</v>
      </c>
      <c r="D366" s="127">
        <v>2842.22680664062</v>
      </c>
      <c r="E366" s="56">
        <f t="shared" si="11"/>
        <v>-6.0338450630936791E-3</v>
      </c>
    </row>
    <row r="367" spans="1:5" x14ac:dyDescent="0.3">
      <c r="A367" s="126">
        <v>44789</v>
      </c>
      <c r="B367" s="127">
        <v>17825.25</v>
      </c>
      <c r="C367" s="56">
        <f t="shared" si="10"/>
        <v>7.1815193435313951E-3</v>
      </c>
      <c r="D367" s="127">
        <v>2832.99926757812</v>
      </c>
      <c r="E367" s="56">
        <f t="shared" si="11"/>
        <v>-3.246587865873507E-3</v>
      </c>
    </row>
    <row r="368" spans="1:5" x14ac:dyDescent="0.3">
      <c r="A368" s="126">
        <v>44790</v>
      </c>
      <c r="B368" s="127">
        <v>17944.25</v>
      </c>
      <c r="C368" s="56">
        <f t="shared" si="10"/>
        <v>6.6759231988331447E-3</v>
      </c>
      <c r="D368" s="127">
        <v>2823.91577148437</v>
      </c>
      <c r="E368" s="56">
        <f t="shared" si="11"/>
        <v>-3.2063178404967418E-3</v>
      </c>
    </row>
    <row r="369" spans="1:5" x14ac:dyDescent="0.3">
      <c r="A369" s="126">
        <v>44791</v>
      </c>
      <c r="B369" s="127">
        <v>17956.5</v>
      </c>
      <c r="C369" s="56">
        <f t="shared" si="10"/>
        <v>6.826699360520383E-4</v>
      </c>
      <c r="D369" s="127">
        <v>2810.5068359375</v>
      </c>
      <c r="E369" s="56">
        <f t="shared" si="11"/>
        <v>-4.7483482624630646E-3</v>
      </c>
    </row>
    <row r="370" spans="1:5" x14ac:dyDescent="0.3">
      <c r="A370" s="126">
        <v>44792</v>
      </c>
      <c r="B370" s="127">
        <v>17758.44921875</v>
      </c>
      <c r="C370" s="56">
        <f t="shared" si="10"/>
        <v>-1.1029475746944017E-2</v>
      </c>
      <c r="D370" s="127">
        <v>2822.04125976562</v>
      </c>
      <c r="E370" s="56">
        <f t="shared" si="11"/>
        <v>4.1040369233873442E-3</v>
      </c>
    </row>
    <row r="371" spans="1:5" x14ac:dyDescent="0.3">
      <c r="A371" s="126">
        <v>44795</v>
      </c>
      <c r="B371" s="127">
        <v>17490.69921875</v>
      </c>
      <c r="C371" s="56">
        <f t="shared" si="10"/>
        <v>-1.5077330047338799E-2</v>
      </c>
      <c r="D371" s="127">
        <v>2819.87890625</v>
      </c>
      <c r="E371" s="56">
        <f t="shared" si="11"/>
        <v>-7.6623738513292849E-4</v>
      </c>
    </row>
    <row r="372" spans="1:5" x14ac:dyDescent="0.3">
      <c r="A372" s="126">
        <v>44796</v>
      </c>
      <c r="B372" s="127">
        <v>17577.5</v>
      </c>
      <c r="C372" s="56">
        <f t="shared" si="10"/>
        <v>4.9626821755044404E-3</v>
      </c>
      <c r="D372" s="127">
        <v>2820.16723632812</v>
      </c>
      <c r="E372" s="56">
        <f t="shared" si="11"/>
        <v>1.0224909923639558E-4</v>
      </c>
    </row>
    <row r="373" spans="1:5" x14ac:dyDescent="0.3">
      <c r="A373" s="126">
        <v>44797</v>
      </c>
      <c r="B373" s="127">
        <v>17604.94921875</v>
      </c>
      <c r="C373" s="56">
        <f t="shared" si="10"/>
        <v>1.561611079505143E-3</v>
      </c>
      <c r="D373" s="127">
        <v>2823.24291992187</v>
      </c>
      <c r="E373" s="56">
        <f t="shared" si="11"/>
        <v>1.0906032642783448E-3</v>
      </c>
    </row>
    <row r="374" spans="1:5" x14ac:dyDescent="0.3">
      <c r="A374" s="126">
        <v>44798</v>
      </c>
      <c r="B374" s="127">
        <v>17522.44921875</v>
      </c>
      <c r="C374" s="56">
        <f t="shared" si="10"/>
        <v>-4.6861822192667546E-3</v>
      </c>
      <c r="D374" s="127">
        <v>2807.2392578125</v>
      </c>
      <c r="E374" s="56">
        <f t="shared" si="11"/>
        <v>-5.6685388269078762E-3</v>
      </c>
    </row>
    <row r="375" spans="1:5" x14ac:dyDescent="0.3">
      <c r="A375" s="126">
        <v>44799</v>
      </c>
      <c r="B375" s="127">
        <v>17558.900390625</v>
      </c>
      <c r="C375" s="56">
        <f t="shared" si="10"/>
        <v>2.0802555293466529E-3</v>
      </c>
      <c r="D375" s="127">
        <v>2797.14624023437</v>
      </c>
      <c r="E375" s="56">
        <f t="shared" si="11"/>
        <v>-3.5953535310684348E-3</v>
      </c>
    </row>
    <row r="376" spans="1:5" x14ac:dyDescent="0.3">
      <c r="A376" s="126">
        <v>44802</v>
      </c>
      <c r="B376" s="127">
        <v>17312.900390625</v>
      </c>
      <c r="C376" s="56">
        <f t="shared" si="10"/>
        <v>-1.4009988924553851E-2</v>
      </c>
      <c r="D376" s="127">
        <v>2798.7802734375</v>
      </c>
      <c r="E376" s="56">
        <f t="shared" si="11"/>
        <v>5.8417868169557963E-4</v>
      </c>
    </row>
    <row r="377" spans="1:5" x14ac:dyDescent="0.3">
      <c r="A377" s="126">
        <v>44803</v>
      </c>
      <c r="B377" s="127">
        <v>17759.30078125</v>
      </c>
      <c r="C377" s="56">
        <f t="shared" si="10"/>
        <v>2.5784263789025541E-2</v>
      </c>
      <c r="D377" s="127">
        <v>2859.240234375</v>
      </c>
      <c r="E377" s="56">
        <f t="shared" si="11"/>
        <v>2.1602253492819745E-2</v>
      </c>
    </row>
    <row r="378" spans="1:5" x14ac:dyDescent="0.3">
      <c r="A378" s="126">
        <v>44805</v>
      </c>
      <c r="B378" s="127">
        <v>17542.80078125</v>
      </c>
      <c r="C378" s="56">
        <f t="shared" si="10"/>
        <v>-1.2190795272107646E-2</v>
      </c>
      <c r="D378" s="127">
        <v>2845.0146484375</v>
      </c>
      <c r="E378" s="56">
        <f t="shared" si="11"/>
        <v>-4.9753027977411657E-3</v>
      </c>
    </row>
    <row r="379" spans="1:5" x14ac:dyDescent="0.3">
      <c r="A379" s="126">
        <v>44806</v>
      </c>
      <c r="B379" s="127">
        <v>17539.44921875</v>
      </c>
      <c r="C379" s="56">
        <f t="shared" si="10"/>
        <v>-1.910505934481499E-4</v>
      </c>
      <c r="D379" s="127">
        <v>2862.31591796875</v>
      </c>
      <c r="E379" s="56">
        <f t="shared" si="11"/>
        <v>6.081258506261733E-3</v>
      </c>
    </row>
    <row r="380" spans="1:5" x14ac:dyDescent="0.3">
      <c r="A380" s="126">
        <v>44809</v>
      </c>
      <c r="B380" s="127">
        <v>17665.80078125</v>
      </c>
      <c r="C380" s="56">
        <f t="shared" si="10"/>
        <v>7.2038500710118747E-3</v>
      </c>
      <c r="D380" s="127">
        <v>2917.10424804687</v>
      </c>
      <c r="E380" s="56">
        <f t="shared" si="11"/>
        <v>1.9141258913516701E-2</v>
      </c>
    </row>
    <row r="381" spans="1:5" x14ac:dyDescent="0.3">
      <c r="A381" s="126">
        <v>44810</v>
      </c>
      <c r="B381" s="127">
        <v>17655.599609375</v>
      </c>
      <c r="C381" s="56">
        <f t="shared" si="10"/>
        <v>-5.7745312546642058E-4</v>
      </c>
      <c r="D381" s="127">
        <v>2929.9365234375</v>
      </c>
      <c r="E381" s="56">
        <f t="shared" si="11"/>
        <v>4.3989773074519789E-3</v>
      </c>
    </row>
    <row r="382" spans="1:5" x14ac:dyDescent="0.3">
      <c r="A382" s="126">
        <v>44811</v>
      </c>
      <c r="B382" s="127">
        <v>17624.400390625</v>
      </c>
      <c r="C382" s="56">
        <f t="shared" si="10"/>
        <v>-1.7671004916441913E-3</v>
      </c>
      <c r="D382" s="127">
        <v>2981.8408203125</v>
      </c>
      <c r="E382" s="56">
        <f t="shared" si="11"/>
        <v>1.7715160877991964E-2</v>
      </c>
    </row>
    <row r="383" spans="1:5" x14ac:dyDescent="0.3">
      <c r="A383" s="126">
        <v>44812</v>
      </c>
      <c r="B383" s="127">
        <v>17798.75</v>
      </c>
      <c r="C383" s="56">
        <f t="shared" si="10"/>
        <v>9.8925129655895727E-3</v>
      </c>
      <c r="D383" s="127">
        <v>3047.10717773437</v>
      </c>
      <c r="E383" s="56">
        <f t="shared" si="11"/>
        <v>2.1887941494821206E-2</v>
      </c>
    </row>
    <row r="384" spans="1:5" x14ac:dyDescent="0.3">
      <c r="A384" s="126">
        <v>44813</v>
      </c>
      <c r="B384" s="127">
        <v>17833.349609375</v>
      </c>
      <c r="C384" s="56">
        <f t="shared" si="10"/>
        <v>1.9439347917691308E-3</v>
      </c>
      <c r="D384" s="127">
        <v>3074.54907226562</v>
      </c>
      <c r="E384" s="56">
        <f t="shared" si="11"/>
        <v>9.0058842471218981E-3</v>
      </c>
    </row>
    <row r="385" spans="1:5" x14ac:dyDescent="0.3">
      <c r="A385" s="126">
        <v>44816</v>
      </c>
      <c r="B385" s="127">
        <v>17936.349609375</v>
      </c>
      <c r="C385" s="56">
        <f t="shared" si="10"/>
        <v>5.7756956632450951E-3</v>
      </c>
      <c r="D385" s="127">
        <v>3081.56616210937</v>
      </c>
      <c r="E385" s="56">
        <f t="shared" si="11"/>
        <v>2.282315122906553E-3</v>
      </c>
    </row>
    <row r="386" spans="1:5" x14ac:dyDescent="0.3">
      <c r="A386" s="126">
        <v>44817</v>
      </c>
      <c r="B386" s="127">
        <v>18070.05078125</v>
      </c>
      <c r="C386" s="56">
        <f t="shared" si="10"/>
        <v>7.4542019299801421E-3</v>
      </c>
      <c r="D386" s="127">
        <v>3087.66943359375</v>
      </c>
      <c r="E386" s="56">
        <f t="shared" si="11"/>
        <v>1.9805745401235697E-3</v>
      </c>
    </row>
    <row r="387" spans="1:5" x14ac:dyDescent="0.3">
      <c r="A387" s="126">
        <v>44818</v>
      </c>
      <c r="B387" s="127">
        <v>18003.75</v>
      </c>
      <c r="C387" s="56">
        <f t="shared" si="10"/>
        <v>-3.6690976717561608E-3</v>
      </c>
      <c r="D387" s="127">
        <v>3086.27587890625</v>
      </c>
      <c r="E387" s="56">
        <f t="shared" si="11"/>
        <v>-4.5132897723376697E-4</v>
      </c>
    </row>
    <row r="388" spans="1:5" x14ac:dyDescent="0.3">
      <c r="A388" s="126">
        <v>44819</v>
      </c>
      <c r="B388" s="127">
        <v>17877.400390625</v>
      </c>
      <c r="C388" s="56">
        <f t="shared" si="10"/>
        <v>-7.0179606679163786E-3</v>
      </c>
      <c r="D388" s="127">
        <v>3066.95556640625</v>
      </c>
      <c r="E388" s="56">
        <f t="shared" si="11"/>
        <v>-6.2600730647731639E-3</v>
      </c>
    </row>
    <row r="389" spans="1:5" x14ac:dyDescent="0.3">
      <c r="A389" s="126">
        <v>44820</v>
      </c>
      <c r="B389" s="127">
        <v>17530.849609375</v>
      </c>
      <c r="C389" s="56">
        <f t="shared" si="10"/>
        <v>-1.9384853148544656E-2</v>
      </c>
      <c r="D389" s="127">
        <v>3057.29565429687</v>
      </c>
      <c r="E389" s="56">
        <f t="shared" si="11"/>
        <v>-3.1496746203920623E-3</v>
      </c>
    </row>
    <row r="390" spans="1:5" x14ac:dyDescent="0.3">
      <c r="A390" s="126">
        <v>44823</v>
      </c>
      <c r="B390" s="127">
        <v>17622.25</v>
      </c>
      <c r="C390" s="56">
        <f t="shared" si="10"/>
        <v>5.2136885924867205E-3</v>
      </c>
      <c r="D390" s="127">
        <v>3123.08984375</v>
      </c>
      <c r="E390" s="56">
        <f t="shared" si="11"/>
        <v>2.1520388242680877E-2</v>
      </c>
    </row>
    <row r="391" spans="1:5" x14ac:dyDescent="0.3">
      <c r="A391" s="126">
        <v>44824</v>
      </c>
      <c r="B391" s="127">
        <v>17816.25</v>
      </c>
      <c r="C391" s="56">
        <f t="shared" ref="C391:C454" si="12">B391/B390-1</f>
        <v>1.1008809885230342E-2</v>
      </c>
      <c r="D391" s="127">
        <v>3190.95092773437</v>
      </c>
      <c r="E391" s="56">
        <f t="shared" ref="E391:E454" si="13">D391/D390-1</f>
        <v>2.172882862149339E-2</v>
      </c>
    </row>
    <row r="392" spans="1:5" x14ac:dyDescent="0.3">
      <c r="A392" s="126">
        <v>44825</v>
      </c>
      <c r="B392" s="127">
        <v>17718.349609375</v>
      </c>
      <c r="C392" s="56">
        <f t="shared" si="12"/>
        <v>-5.4950054374517388E-3</v>
      </c>
      <c r="D392" s="127">
        <v>3119.7255859375</v>
      </c>
      <c r="E392" s="56">
        <f t="shared" si="13"/>
        <v>-2.2321039530194597E-2</v>
      </c>
    </row>
    <row r="393" spans="1:5" x14ac:dyDescent="0.3">
      <c r="A393" s="126">
        <v>44826</v>
      </c>
      <c r="B393" s="127">
        <v>17629.80078125</v>
      </c>
      <c r="C393" s="56">
        <f t="shared" si="12"/>
        <v>-4.9975776569025632E-3</v>
      </c>
      <c r="D393" s="127">
        <v>3151.97412109375</v>
      </c>
      <c r="E393" s="56">
        <f t="shared" si="13"/>
        <v>1.0336978130901509E-2</v>
      </c>
    </row>
    <row r="394" spans="1:5" x14ac:dyDescent="0.3">
      <c r="A394" s="126">
        <v>44827</v>
      </c>
      <c r="B394" s="127">
        <v>17327.349609375</v>
      </c>
      <c r="C394" s="56">
        <f t="shared" si="12"/>
        <v>-1.7155677232420508E-2</v>
      </c>
      <c r="D394" s="127">
        <v>3131.45263671875</v>
      </c>
      <c r="E394" s="56">
        <f t="shared" si="13"/>
        <v>-6.5106766701114038E-3</v>
      </c>
    </row>
    <row r="395" spans="1:5" x14ac:dyDescent="0.3">
      <c r="A395" s="126">
        <v>44830</v>
      </c>
      <c r="B395" s="127">
        <v>17016.30078125</v>
      </c>
      <c r="C395" s="56">
        <f t="shared" si="12"/>
        <v>-1.7951321762256445E-2</v>
      </c>
      <c r="D395" s="127">
        <v>3162.93188476562</v>
      </c>
      <c r="E395" s="56">
        <f t="shared" si="13"/>
        <v>1.0052602321922732E-2</v>
      </c>
    </row>
    <row r="396" spans="1:5" x14ac:dyDescent="0.3">
      <c r="A396" s="126">
        <v>44831</v>
      </c>
      <c r="B396" s="127">
        <v>17007.400390625</v>
      </c>
      <c r="C396" s="56">
        <f t="shared" si="12"/>
        <v>-5.2305085220449854E-4</v>
      </c>
      <c r="D396" s="127">
        <v>3169.32348632812</v>
      </c>
      <c r="E396" s="56">
        <f t="shared" si="13"/>
        <v>2.0207838155748004E-3</v>
      </c>
    </row>
    <row r="397" spans="1:5" x14ac:dyDescent="0.3">
      <c r="A397" s="126">
        <v>44832</v>
      </c>
      <c r="B397" s="127">
        <v>16858.599609375</v>
      </c>
      <c r="C397" s="56">
        <f t="shared" si="12"/>
        <v>-8.7491784653945803E-3</v>
      </c>
      <c r="D397" s="127">
        <v>3169.17944335937</v>
      </c>
      <c r="E397" s="56">
        <f t="shared" si="13"/>
        <v>-4.544912167259163E-5</v>
      </c>
    </row>
    <row r="398" spans="1:5" x14ac:dyDescent="0.3">
      <c r="A398" s="126">
        <v>44833</v>
      </c>
      <c r="B398" s="127">
        <v>16818.099609375</v>
      </c>
      <c r="C398" s="56">
        <f t="shared" si="12"/>
        <v>-2.4023347691036756E-3</v>
      </c>
      <c r="D398" s="127">
        <v>3133.375</v>
      </c>
      <c r="E398" s="56">
        <f t="shared" si="13"/>
        <v>-1.1297701502637758E-2</v>
      </c>
    </row>
    <row r="399" spans="1:5" x14ac:dyDescent="0.3">
      <c r="A399" s="126">
        <v>44834</v>
      </c>
      <c r="B399" s="127">
        <v>17094.349609375</v>
      </c>
      <c r="C399" s="56">
        <f t="shared" si="12"/>
        <v>1.6425755966269051E-2</v>
      </c>
      <c r="D399" s="127">
        <v>3150.05151367187</v>
      </c>
      <c r="E399" s="56">
        <f t="shared" si="13"/>
        <v>5.3222208231922252E-3</v>
      </c>
    </row>
    <row r="400" spans="1:5" x14ac:dyDescent="0.3">
      <c r="A400" s="126">
        <v>44837</v>
      </c>
      <c r="B400" s="127">
        <v>16887.349609375</v>
      </c>
      <c r="C400" s="56">
        <f t="shared" si="12"/>
        <v>-1.2109264448790458E-2</v>
      </c>
      <c r="D400" s="127">
        <v>3143.99584960937</v>
      </c>
      <c r="E400" s="56">
        <f t="shared" si="13"/>
        <v>-1.9224015976301301E-3</v>
      </c>
    </row>
    <row r="401" spans="1:5" x14ac:dyDescent="0.3">
      <c r="A401" s="126">
        <v>44838</v>
      </c>
      <c r="B401" s="127">
        <v>17274.30078125</v>
      </c>
      <c r="C401" s="56">
        <f t="shared" si="12"/>
        <v>2.2913670932719121E-2</v>
      </c>
      <c r="D401" s="127">
        <v>3172.9765625</v>
      </c>
      <c r="E401" s="56">
        <f t="shared" si="13"/>
        <v>9.2177961666937147E-3</v>
      </c>
    </row>
    <row r="402" spans="1:5" x14ac:dyDescent="0.3">
      <c r="A402" s="126">
        <v>44840</v>
      </c>
      <c r="B402" s="127">
        <v>17331.80078125</v>
      </c>
      <c r="C402" s="56">
        <f t="shared" si="12"/>
        <v>3.3286441360573793E-3</v>
      </c>
      <c r="D402" s="127">
        <v>3152.11840820312</v>
      </c>
      <c r="E402" s="56">
        <f t="shared" si="13"/>
        <v>-6.5736868476726773E-3</v>
      </c>
    </row>
    <row r="403" spans="1:5" x14ac:dyDescent="0.3">
      <c r="A403" s="126">
        <v>44841</v>
      </c>
      <c r="B403" s="127">
        <v>17314.650390625</v>
      </c>
      <c r="C403" s="56">
        <f t="shared" si="12"/>
        <v>-9.8953310400118344E-4</v>
      </c>
      <c r="D403" s="127">
        <v>3076.13525390625</v>
      </c>
      <c r="E403" s="56">
        <f t="shared" si="13"/>
        <v>-2.4105425132231795E-2</v>
      </c>
    </row>
    <row r="404" spans="1:5" x14ac:dyDescent="0.3">
      <c r="A404" s="126">
        <v>44844</v>
      </c>
      <c r="B404" s="127">
        <v>17241</v>
      </c>
      <c r="C404" s="56">
        <f t="shared" si="12"/>
        <v>-4.25364584114718E-3</v>
      </c>
      <c r="D404" s="127">
        <v>3051.48071289062</v>
      </c>
      <c r="E404" s="56">
        <f t="shared" si="13"/>
        <v>-8.0147779537074193E-3</v>
      </c>
    </row>
    <row r="405" spans="1:5" x14ac:dyDescent="0.3">
      <c r="A405" s="126">
        <v>44845</v>
      </c>
      <c r="B405" s="127">
        <v>16983.55078125</v>
      </c>
      <c r="C405" s="56">
        <f t="shared" si="12"/>
        <v>-1.4932383199930399E-2</v>
      </c>
      <c r="D405" s="127">
        <v>3074.54907226562</v>
      </c>
      <c r="E405" s="56">
        <f t="shared" si="13"/>
        <v>7.5597264231592742E-3</v>
      </c>
    </row>
    <row r="406" spans="1:5" x14ac:dyDescent="0.3">
      <c r="A406" s="126">
        <v>44846</v>
      </c>
      <c r="B406" s="127">
        <v>17123.599609375</v>
      </c>
      <c r="C406" s="56">
        <f t="shared" si="12"/>
        <v>8.2461453396196482E-3</v>
      </c>
      <c r="D406" s="127">
        <v>3031.72827148437</v>
      </c>
      <c r="E406" s="56">
        <f t="shared" si="13"/>
        <v>-1.3927506042274884E-2</v>
      </c>
    </row>
    <row r="407" spans="1:5" x14ac:dyDescent="0.3">
      <c r="A407" s="126">
        <v>44847</v>
      </c>
      <c r="B407" s="127">
        <v>17014.349609375</v>
      </c>
      <c r="C407" s="56">
        <f t="shared" si="12"/>
        <v>-6.3800837728176241E-3</v>
      </c>
      <c r="D407" s="127">
        <v>3004.28564453125</v>
      </c>
      <c r="E407" s="56">
        <f t="shared" si="13"/>
        <v>-9.051809560651658E-3</v>
      </c>
    </row>
    <row r="408" spans="1:5" x14ac:dyDescent="0.3">
      <c r="A408" s="126">
        <v>44848</v>
      </c>
      <c r="B408" s="127">
        <v>17185.69921875</v>
      </c>
      <c r="C408" s="56">
        <f t="shared" si="12"/>
        <v>1.0070888003887335E-2</v>
      </c>
      <c r="D408" s="127">
        <v>2984.72485351562</v>
      </c>
      <c r="E408" s="56">
        <f t="shared" si="13"/>
        <v>-6.5109624483400408E-3</v>
      </c>
    </row>
    <row r="409" spans="1:5" x14ac:dyDescent="0.3">
      <c r="A409" s="126">
        <v>44851</v>
      </c>
      <c r="B409" s="127">
        <v>17311.80078125</v>
      </c>
      <c r="C409" s="56">
        <f t="shared" si="12"/>
        <v>7.3375869608156563E-3</v>
      </c>
      <c r="D409" s="127">
        <v>3001.25756835937</v>
      </c>
      <c r="E409" s="56">
        <f t="shared" si="13"/>
        <v>5.5391085125573447E-3</v>
      </c>
    </row>
    <row r="410" spans="1:5" x14ac:dyDescent="0.3">
      <c r="A410" s="126">
        <v>44852</v>
      </c>
      <c r="B410" s="127">
        <v>17486.94921875</v>
      </c>
      <c r="C410" s="56">
        <f t="shared" si="12"/>
        <v>1.0117285874136073E-2</v>
      </c>
      <c r="D410" s="127">
        <v>2985.78247070312</v>
      </c>
      <c r="E410" s="56">
        <f t="shared" si="13"/>
        <v>-5.156204458889313E-3</v>
      </c>
    </row>
    <row r="411" spans="1:5" x14ac:dyDescent="0.3">
      <c r="A411" s="126">
        <v>44853</v>
      </c>
      <c r="B411" s="127">
        <v>17512.25</v>
      </c>
      <c r="C411" s="56">
        <f t="shared" si="12"/>
        <v>1.4468379208691928E-3</v>
      </c>
      <c r="D411" s="127">
        <v>2960.40649414062</v>
      </c>
      <c r="E411" s="56">
        <f t="shared" si="13"/>
        <v>-8.4989368152209588E-3</v>
      </c>
    </row>
    <row r="412" spans="1:5" x14ac:dyDescent="0.3">
      <c r="A412" s="126">
        <v>44854</v>
      </c>
      <c r="B412" s="127">
        <v>17563.94921875</v>
      </c>
      <c r="C412" s="56">
        <f t="shared" si="12"/>
        <v>2.9521745492440132E-3</v>
      </c>
      <c r="D412" s="127">
        <v>2979.34204101562</v>
      </c>
      <c r="E412" s="56">
        <f t="shared" si="13"/>
        <v>6.3962658210885426E-3</v>
      </c>
    </row>
    <row r="413" spans="1:5" x14ac:dyDescent="0.3">
      <c r="A413" s="126">
        <v>44855</v>
      </c>
      <c r="B413" s="127">
        <v>17576.30078125</v>
      </c>
      <c r="C413" s="56">
        <f t="shared" si="12"/>
        <v>7.0323378564629557E-4</v>
      </c>
      <c r="D413" s="127">
        <v>2976.21850585937</v>
      </c>
      <c r="E413" s="56">
        <f t="shared" si="13"/>
        <v>-1.0483976372129833E-3</v>
      </c>
    </row>
    <row r="414" spans="1:5" x14ac:dyDescent="0.3">
      <c r="A414" s="126">
        <v>44858</v>
      </c>
      <c r="B414" s="127">
        <v>17730.75</v>
      </c>
      <c r="C414" s="56">
        <f t="shared" si="12"/>
        <v>8.7873563767617568E-3</v>
      </c>
      <c r="D414" s="127">
        <v>2984.24438476562</v>
      </c>
      <c r="E414" s="56">
        <f t="shared" si="13"/>
        <v>2.6966699153470053E-3</v>
      </c>
    </row>
    <row r="415" spans="1:5" x14ac:dyDescent="0.3">
      <c r="A415" s="126">
        <v>44859</v>
      </c>
      <c r="B415" s="127">
        <v>17656.349609375</v>
      </c>
      <c r="C415" s="56">
        <f t="shared" si="12"/>
        <v>-4.1961220267050514E-3</v>
      </c>
      <c r="D415" s="127">
        <v>3000.00830078125</v>
      </c>
      <c r="E415" s="56">
        <f t="shared" si="13"/>
        <v>5.2823810597093512E-3</v>
      </c>
    </row>
    <row r="416" spans="1:5" x14ac:dyDescent="0.3">
      <c r="A416" s="126">
        <v>44861</v>
      </c>
      <c r="B416" s="127">
        <v>17736.94921875</v>
      </c>
      <c r="C416" s="56">
        <f t="shared" si="12"/>
        <v>4.5649078749665506E-3</v>
      </c>
      <c r="D416" s="127">
        <v>2993.08740234375</v>
      </c>
      <c r="E416" s="56">
        <f t="shared" si="13"/>
        <v>-2.3069597626438343E-3</v>
      </c>
    </row>
    <row r="417" spans="1:5" x14ac:dyDescent="0.3">
      <c r="A417" s="126">
        <v>44862</v>
      </c>
      <c r="B417" s="127">
        <v>17786.80078125</v>
      </c>
      <c r="C417" s="56">
        <f t="shared" si="12"/>
        <v>2.8106052447454122E-3</v>
      </c>
      <c r="D417" s="127">
        <v>2991.93383789062</v>
      </c>
      <c r="E417" s="56">
        <f t="shared" si="13"/>
        <v>-3.8540954474852729E-4</v>
      </c>
    </row>
    <row r="418" spans="1:5" x14ac:dyDescent="0.3">
      <c r="A418" s="126">
        <v>44865</v>
      </c>
      <c r="B418" s="127">
        <v>18012.19921875</v>
      </c>
      <c r="C418" s="56">
        <f t="shared" si="12"/>
        <v>1.2672230395564199E-2</v>
      </c>
      <c r="D418" s="127">
        <v>3032.78466796875</v>
      </c>
      <c r="E418" s="56">
        <f t="shared" si="13"/>
        <v>1.365365422215703E-2</v>
      </c>
    </row>
    <row r="419" spans="1:5" x14ac:dyDescent="0.3">
      <c r="A419" s="126">
        <v>44866</v>
      </c>
      <c r="B419" s="127">
        <v>18145.400390625</v>
      </c>
      <c r="C419" s="56">
        <f t="shared" si="12"/>
        <v>7.3950532223929777E-3</v>
      </c>
      <c r="D419" s="127">
        <v>3101.46264648437</v>
      </c>
      <c r="E419" s="56">
        <f t="shared" si="13"/>
        <v>2.2645187850286241E-2</v>
      </c>
    </row>
    <row r="420" spans="1:5" x14ac:dyDescent="0.3">
      <c r="A420" s="126">
        <v>44867</v>
      </c>
      <c r="B420" s="127">
        <v>18082.849609375</v>
      </c>
      <c r="C420" s="56">
        <f t="shared" si="12"/>
        <v>-3.4471976315451069E-3</v>
      </c>
      <c r="D420" s="127">
        <v>3182.54052734375</v>
      </c>
      <c r="E420" s="56">
        <f t="shared" si="13"/>
        <v>2.6141820844202357E-2</v>
      </c>
    </row>
    <row r="421" spans="1:5" x14ac:dyDescent="0.3">
      <c r="A421" s="126">
        <v>44868</v>
      </c>
      <c r="B421" s="127">
        <v>18052.69921875</v>
      </c>
      <c r="C421" s="56">
        <f t="shared" si="12"/>
        <v>-1.6673473084335422E-3</v>
      </c>
      <c r="D421" s="127">
        <v>3168.50659179687</v>
      </c>
      <c r="E421" s="56">
        <f t="shared" si="13"/>
        <v>-4.4096643628896981E-3</v>
      </c>
    </row>
    <row r="422" spans="1:5" x14ac:dyDescent="0.3">
      <c r="A422" s="126">
        <v>44869</v>
      </c>
      <c r="B422" s="127">
        <v>18117.150390625</v>
      </c>
      <c r="C422" s="56">
        <f t="shared" si="12"/>
        <v>3.5701681556883358E-3</v>
      </c>
      <c r="D422" s="127">
        <v>3128.08862304687</v>
      </c>
      <c r="E422" s="56">
        <f t="shared" si="13"/>
        <v>-1.2756157381726863E-2</v>
      </c>
    </row>
    <row r="423" spans="1:5" x14ac:dyDescent="0.3">
      <c r="A423" s="126">
        <v>44872</v>
      </c>
      <c r="B423" s="127">
        <v>18202.80078125</v>
      </c>
      <c r="C423" s="56">
        <f t="shared" si="12"/>
        <v>4.7275862251119349E-3</v>
      </c>
      <c r="D423" s="127">
        <v>3101.84741210937</v>
      </c>
      <c r="E423" s="56">
        <f t="shared" si="13"/>
        <v>-8.3888962557397972E-3</v>
      </c>
    </row>
    <row r="424" spans="1:5" x14ac:dyDescent="0.3">
      <c r="A424" s="126">
        <v>44874</v>
      </c>
      <c r="B424" s="127">
        <v>18157</v>
      </c>
      <c r="C424" s="56">
        <f t="shared" si="12"/>
        <v>-2.5161392359563939E-3</v>
      </c>
      <c r="D424" s="127">
        <v>3063.83203125</v>
      </c>
      <c r="E424" s="56">
        <f t="shared" si="13"/>
        <v>-1.2255722415925763E-2</v>
      </c>
    </row>
    <row r="425" spans="1:5" x14ac:dyDescent="0.3">
      <c r="A425" s="126">
        <v>44875</v>
      </c>
      <c r="B425" s="127">
        <v>18028.19921875</v>
      </c>
      <c r="C425" s="56">
        <f t="shared" si="12"/>
        <v>-7.0937259046097711E-3</v>
      </c>
      <c r="D425" s="127">
        <v>3052.68139648437</v>
      </c>
      <c r="E425" s="56">
        <f t="shared" si="13"/>
        <v>-3.6394406259538936E-3</v>
      </c>
    </row>
    <row r="426" spans="1:5" x14ac:dyDescent="0.3">
      <c r="A426" s="126">
        <v>44876</v>
      </c>
      <c r="B426" s="127">
        <v>18349.69921875</v>
      </c>
      <c r="C426" s="56">
        <f t="shared" si="12"/>
        <v>1.7833173247033374E-2</v>
      </c>
      <c r="D426" s="127">
        <v>3050.3271484375</v>
      </c>
      <c r="E426" s="56">
        <f t="shared" si="13"/>
        <v>-7.7120660203233715E-4</v>
      </c>
    </row>
    <row r="427" spans="1:5" x14ac:dyDescent="0.3">
      <c r="A427" s="126">
        <v>44879</v>
      </c>
      <c r="B427" s="127">
        <v>18329.150390625</v>
      </c>
      <c r="C427" s="56">
        <f t="shared" si="12"/>
        <v>-1.1198455015547504E-3</v>
      </c>
      <c r="D427" s="127">
        <v>3024.22998046875</v>
      </c>
      <c r="E427" s="56">
        <f t="shared" si="13"/>
        <v>-8.5555308328544299E-3</v>
      </c>
    </row>
    <row r="428" spans="1:5" x14ac:dyDescent="0.3">
      <c r="A428" s="126">
        <v>44880</v>
      </c>
      <c r="B428" s="127">
        <v>18403.400390625</v>
      </c>
      <c r="C428" s="56">
        <f t="shared" si="12"/>
        <v>4.0509242609507723E-3</v>
      </c>
      <c r="D428" s="127">
        <v>3008.7548828125</v>
      </c>
      <c r="E428" s="56">
        <f t="shared" si="13"/>
        <v>-5.117037314024464E-3</v>
      </c>
    </row>
    <row r="429" spans="1:5" x14ac:dyDescent="0.3">
      <c r="A429" s="126">
        <v>44881</v>
      </c>
      <c r="B429" s="127">
        <v>18409.650390625</v>
      </c>
      <c r="C429" s="56">
        <f t="shared" si="12"/>
        <v>3.3961115159919508E-4</v>
      </c>
      <c r="D429" s="127">
        <v>2983.66772460937</v>
      </c>
      <c r="E429" s="56">
        <f t="shared" si="13"/>
        <v>-8.3380531748997733E-3</v>
      </c>
    </row>
    <row r="430" spans="1:5" x14ac:dyDescent="0.3">
      <c r="A430" s="126">
        <v>44882</v>
      </c>
      <c r="B430" s="127">
        <v>18343.900390625</v>
      </c>
      <c r="C430" s="56">
        <f t="shared" si="12"/>
        <v>-3.5714963948192402E-3</v>
      </c>
      <c r="D430" s="127">
        <v>3009.3798828125</v>
      </c>
      <c r="E430" s="56">
        <f t="shared" si="13"/>
        <v>8.6176345948496547E-3</v>
      </c>
    </row>
    <row r="431" spans="1:5" x14ac:dyDescent="0.3">
      <c r="A431" s="126">
        <v>44883</v>
      </c>
      <c r="B431" s="127">
        <v>18307.650390625</v>
      </c>
      <c r="C431" s="56">
        <f t="shared" si="12"/>
        <v>-1.9761337135545398E-3</v>
      </c>
      <c r="D431" s="127">
        <v>2997.94140625</v>
      </c>
      <c r="E431" s="56">
        <f t="shared" si="13"/>
        <v>-3.8009413925536029E-3</v>
      </c>
    </row>
    <row r="432" spans="1:5" x14ac:dyDescent="0.3">
      <c r="A432" s="126">
        <v>44886</v>
      </c>
      <c r="B432" s="127">
        <v>18159.94921875</v>
      </c>
      <c r="C432" s="56">
        <f t="shared" si="12"/>
        <v>-8.0677295405768845E-3</v>
      </c>
      <c r="D432" s="127">
        <v>2964.68408203125</v>
      </c>
      <c r="E432" s="56">
        <f t="shared" si="13"/>
        <v>-1.1093386998630606E-2</v>
      </c>
    </row>
    <row r="433" spans="1:5" x14ac:dyDescent="0.3">
      <c r="A433" s="126">
        <v>44887</v>
      </c>
      <c r="B433" s="127">
        <v>18244.19921875</v>
      </c>
      <c r="C433" s="56">
        <f t="shared" si="12"/>
        <v>4.63933015368867E-3</v>
      </c>
      <c r="D433" s="127">
        <v>2968.76879882812</v>
      </c>
      <c r="E433" s="56">
        <f t="shared" si="13"/>
        <v>1.37779159055329E-3</v>
      </c>
    </row>
    <row r="434" spans="1:5" x14ac:dyDescent="0.3">
      <c r="A434" s="126">
        <v>44888</v>
      </c>
      <c r="B434" s="127">
        <v>18267.25</v>
      </c>
      <c r="C434" s="56">
        <f t="shared" si="12"/>
        <v>1.2634580983039712E-3</v>
      </c>
      <c r="D434" s="127">
        <v>3004.04516601562</v>
      </c>
      <c r="E434" s="56">
        <f t="shared" si="13"/>
        <v>1.1882490546729185E-2</v>
      </c>
    </row>
    <row r="435" spans="1:5" x14ac:dyDescent="0.3">
      <c r="A435" s="126">
        <v>44889</v>
      </c>
      <c r="B435" s="127">
        <v>18484.099609375</v>
      </c>
      <c r="C435" s="56">
        <f t="shared" si="12"/>
        <v>1.1870949889830174E-2</v>
      </c>
      <c r="D435" s="127">
        <v>2979.72680664062</v>
      </c>
      <c r="E435" s="56">
        <f t="shared" si="13"/>
        <v>-8.0952043098787563E-3</v>
      </c>
    </row>
    <row r="436" spans="1:5" x14ac:dyDescent="0.3">
      <c r="A436" s="126">
        <v>44890</v>
      </c>
      <c r="B436" s="127">
        <v>18512.75</v>
      </c>
      <c r="C436" s="56">
        <f t="shared" si="12"/>
        <v>1.5500019600884762E-3</v>
      </c>
      <c r="D436" s="127">
        <v>2949.30444335937</v>
      </c>
      <c r="E436" s="56">
        <f t="shared" si="13"/>
        <v>-1.0209782726876448E-2</v>
      </c>
    </row>
    <row r="437" spans="1:5" x14ac:dyDescent="0.3">
      <c r="A437" s="126">
        <v>44893</v>
      </c>
      <c r="B437" s="127">
        <v>18562.75</v>
      </c>
      <c r="C437" s="56">
        <f t="shared" si="12"/>
        <v>2.7008413120686026E-3</v>
      </c>
      <c r="D437" s="127">
        <v>2961.12719726562</v>
      </c>
      <c r="E437" s="56">
        <f t="shared" si="13"/>
        <v>4.0086583576917079E-3</v>
      </c>
    </row>
    <row r="438" spans="1:5" x14ac:dyDescent="0.3">
      <c r="A438" s="126">
        <v>44894</v>
      </c>
      <c r="B438" s="127">
        <v>18618.05078125</v>
      </c>
      <c r="C438" s="56">
        <f t="shared" si="12"/>
        <v>2.9791265437502101E-3</v>
      </c>
      <c r="D438" s="127">
        <v>3000.53662109375</v>
      </c>
      <c r="E438" s="56">
        <f t="shared" si="13"/>
        <v>1.3308926365784401E-2</v>
      </c>
    </row>
    <row r="439" spans="1:5" x14ac:dyDescent="0.3">
      <c r="A439" s="126">
        <v>44895</v>
      </c>
      <c r="B439" s="127">
        <v>18758.349609375</v>
      </c>
      <c r="C439" s="56">
        <f t="shared" si="12"/>
        <v>7.5356346254191742E-3</v>
      </c>
      <c r="D439" s="127">
        <v>3002.98779296875</v>
      </c>
      <c r="E439" s="56">
        <f t="shared" si="13"/>
        <v>8.1691116774518235E-4</v>
      </c>
    </row>
    <row r="440" spans="1:5" x14ac:dyDescent="0.3">
      <c r="A440" s="126">
        <v>44896</v>
      </c>
      <c r="B440" s="127">
        <v>18812.5</v>
      </c>
      <c r="C440" s="56">
        <f t="shared" si="12"/>
        <v>2.886735334004964E-3</v>
      </c>
      <c r="D440" s="127">
        <v>3008.6591796875</v>
      </c>
      <c r="E440" s="56">
        <f t="shared" si="13"/>
        <v>1.8885813428974885E-3</v>
      </c>
    </row>
    <row r="441" spans="1:5" x14ac:dyDescent="0.3">
      <c r="A441" s="126">
        <v>44897</v>
      </c>
      <c r="B441" s="127">
        <v>18696.099609375</v>
      </c>
      <c r="C441" s="56">
        <f t="shared" si="12"/>
        <v>-6.1873961794020049E-3</v>
      </c>
      <c r="D441" s="127">
        <v>2993.61572265625</v>
      </c>
      <c r="E441" s="56">
        <f t="shared" si="13"/>
        <v>-5.0000535563528015E-3</v>
      </c>
    </row>
    <row r="442" spans="1:5" x14ac:dyDescent="0.3">
      <c r="A442" s="126">
        <v>44900</v>
      </c>
      <c r="B442" s="127">
        <v>18701.05078125</v>
      </c>
      <c r="C442" s="56">
        <f t="shared" si="12"/>
        <v>2.6482378562620035E-4</v>
      </c>
      <c r="D442" s="127">
        <v>2998.80639648437</v>
      </c>
      <c r="E442" s="56">
        <f t="shared" si="13"/>
        <v>1.7339145398107547E-3</v>
      </c>
    </row>
    <row r="443" spans="1:5" x14ac:dyDescent="0.3">
      <c r="A443" s="126">
        <v>44901</v>
      </c>
      <c r="B443" s="127">
        <v>18642.75</v>
      </c>
      <c r="C443" s="56">
        <f t="shared" si="12"/>
        <v>-3.1175136590962937E-3</v>
      </c>
      <c r="D443" s="127">
        <v>2981.2646484375</v>
      </c>
      <c r="E443" s="56">
        <f t="shared" si="13"/>
        <v>-5.8495767073976079E-3</v>
      </c>
    </row>
    <row r="444" spans="1:5" x14ac:dyDescent="0.3">
      <c r="A444" s="126">
        <v>44902</v>
      </c>
      <c r="B444" s="127">
        <v>18560.5</v>
      </c>
      <c r="C444" s="56">
        <f t="shared" si="12"/>
        <v>-4.4119027503989328E-3</v>
      </c>
      <c r="D444" s="127">
        <v>2962.80932617187</v>
      </c>
      <c r="E444" s="56">
        <f t="shared" si="13"/>
        <v>-6.1904340747818143E-3</v>
      </c>
    </row>
    <row r="445" spans="1:5" x14ac:dyDescent="0.3">
      <c r="A445" s="126">
        <v>44903</v>
      </c>
      <c r="B445" s="127">
        <v>18609.349609375</v>
      </c>
      <c r="C445" s="56">
        <f t="shared" si="12"/>
        <v>2.6319123609277462E-3</v>
      </c>
      <c r="D445" s="127">
        <v>2979.24584960937</v>
      </c>
      <c r="E445" s="56">
        <f t="shared" si="13"/>
        <v>5.5476143173671666E-3</v>
      </c>
    </row>
    <row r="446" spans="1:5" x14ac:dyDescent="0.3">
      <c r="A446" s="126">
        <v>44904</v>
      </c>
      <c r="B446" s="127">
        <v>18496.599609375</v>
      </c>
      <c r="C446" s="56">
        <f t="shared" si="12"/>
        <v>-6.058782405979346E-3</v>
      </c>
      <c r="D446" s="127">
        <v>3016.4443359375</v>
      </c>
      <c r="E446" s="56">
        <f t="shared" si="13"/>
        <v>1.2485873340398301E-2</v>
      </c>
    </row>
    <row r="447" spans="1:5" x14ac:dyDescent="0.3">
      <c r="A447" s="126">
        <v>44907</v>
      </c>
      <c r="B447" s="127">
        <v>18497.150390625</v>
      </c>
      <c r="C447" s="56">
        <f t="shared" si="12"/>
        <v>2.977743269738653E-5</v>
      </c>
      <c r="D447" s="127">
        <v>2995.154296875</v>
      </c>
      <c r="E447" s="56">
        <f t="shared" si="13"/>
        <v>-7.0579916920241459E-3</v>
      </c>
    </row>
    <row r="448" spans="1:5" x14ac:dyDescent="0.3">
      <c r="A448" s="126">
        <v>44908</v>
      </c>
      <c r="B448" s="127">
        <v>18608</v>
      </c>
      <c r="C448" s="56">
        <f t="shared" si="12"/>
        <v>5.9927938646799905E-3</v>
      </c>
      <c r="D448" s="127">
        <v>2983.57153320312</v>
      </c>
      <c r="E448" s="56">
        <f t="shared" si="13"/>
        <v>-3.8671676060111349E-3</v>
      </c>
    </row>
    <row r="449" spans="1:5" x14ac:dyDescent="0.3">
      <c r="A449" s="126">
        <v>44909</v>
      </c>
      <c r="B449" s="127">
        <v>18660.30078125</v>
      </c>
      <c r="C449" s="56">
        <f t="shared" si="12"/>
        <v>2.8106610731943871E-3</v>
      </c>
      <c r="D449" s="127">
        <v>2978.62109375</v>
      </c>
      <c r="E449" s="56">
        <f t="shared" si="13"/>
        <v>-1.6592327008179142E-3</v>
      </c>
    </row>
    <row r="450" spans="1:5" x14ac:dyDescent="0.3">
      <c r="A450" s="126">
        <v>44910</v>
      </c>
      <c r="B450" s="127">
        <v>18414.900390625</v>
      </c>
      <c r="C450" s="56">
        <f t="shared" si="12"/>
        <v>-1.3150934355333654E-2</v>
      </c>
      <c r="D450" s="127">
        <v>2944.49877929687</v>
      </c>
      <c r="E450" s="56">
        <f t="shared" si="13"/>
        <v>-1.1455741895042726E-2</v>
      </c>
    </row>
    <row r="451" spans="1:5" x14ac:dyDescent="0.3">
      <c r="A451" s="126">
        <v>44911</v>
      </c>
      <c r="B451" s="127">
        <v>18269</v>
      </c>
      <c r="C451" s="56">
        <f t="shared" si="12"/>
        <v>-7.9229530179417695E-3</v>
      </c>
      <c r="D451" s="127">
        <v>2932.19506835937</v>
      </c>
      <c r="E451" s="56">
        <f t="shared" si="13"/>
        <v>-4.1785417008860515E-3</v>
      </c>
    </row>
    <row r="452" spans="1:5" x14ac:dyDescent="0.3">
      <c r="A452" s="126">
        <v>44914</v>
      </c>
      <c r="B452" s="127">
        <v>18420.44921875</v>
      </c>
      <c r="C452" s="56">
        <f t="shared" si="12"/>
        <v>8.2899566889265142E-3</v>
      </c>
      <c r="D452" s="127">
        <v>2884.23095703125</v>
      </c>
      <c r="E452" s="56">
        <f t="shared" si="13"/>
        <v>-1.6357749129888854E-2</v>
      </c>
    </row>
    <row r="453" spans="1:5" x14ac:dyDescent="0.3">
      <c r="A453" s="126">
        <v>44915</v>
      </c>
      <c r="B453" s="127">
        <v>18385.30078125</v>
      </c>
      <c r="C453" s="56">
        <f t="shared" si="12"/>
        <v>-1.9081205394395617E-3</v>
      </c>
      <c r="D453" s="127">
        <v>2885.48095703125</v>
      </c>
      <c r="E453" s="56">
        <f t="shared" si="13"/>
        <v>4.3339109059647996E-4</v>
      </c>
    </row>
    <row r="454" spans="1:5" x14ac:dyDescent="0.3">
      <c r="A454" s="126">
        <v>44916</v>
      </c>
      <c r="B454" s="127">
        <v>18199.099609375</v>
      </c>
      <c r="C454" s="56">
        <f t="shared" si="12"/>
        <v>-1.012771964355863E-2</v>
      </c>
      <c r="D454" s="127">
        <v>2932.14721679687</v>
      </c>
      <c r="E454" s="56">
        <f t="shared" si="13"/>
        <v>1.6172783830683546E-2</v>
      </c>
    </row>
    <row r="455" spans="1:5" x14ac:dyDescent="0.3">
      <c r="A455" s="126">
        <v>44917</v>
      </c>
      <c r="B455" s="127">
        <v>18127.349609375</v>
      </c>
      <c r="C455" s="56">
        <f t="shared" ref="C455:C518" si="14">B455/B454-1</f>
        <v>-3.9425027358517273E-3</v>
      </c>
      <c r="D455" s="127">
        <v>2966.6064453125</v>
      </c>
      <c r="E455" s="56">
        <f t="shared" ref="E455:E518" si="15">D455/D454-1</f>
        <v>1.1752216368342561E-2</v>
      </c>
    </row>
    <row r="456" spans="1:5" x14ac:dyDescent="0.3">
      <c r="A456" s="126">
        <v>44918</v>
      </c>
      <c r="B456" s="127">
        <v>17806.80078125</v>
      </c>
      <c r="C456" s="56">
        <f t="shared" si="14"/>
        <v>-1.7683160254117869E-2</v>
      </c>
      <c r="D456" s="127">
        <v>2921.62182617187</v>
      </c>
      <c r="E456" s="56">
        <f t="shared" si="15"/>
        <v>-1.516366257873869E-2</v>
      </c>
    </row>
    <row r="457" spans="1:5" x14ac:dyDescent="0.3">
      <c r="A457" s="126">
        <v>44921</v>
      </c>
      <c r="B457" s="127">
        <v>18014.599609375</v>
      </c>
      <c r="C457" s="56">
        <f t="shared" si="14"/>
        <v>1.1669632893506865E-2</v>
      </c>
      <c r="D457" s="127">
        <v>2961.56005859375</v>
      </c>
      <c r="E457" s="56">
        <f t="shared" si="15"/>
        <v>1.3669884330721249E-2</v>
      </c>
    </row>
    <row r="458" spans="1:5" x14ac:dyDescent="0.3">
      <c r="A458" s="126">
        <v>44922</v>
      </c>
      <c r="B458" s="127">
        <v>18132.30078125</v>
      </c>
      <c r="C458" s="56">
        <f t="shared" si="14"/>
        <v>6.5336546149905583E-3</v>
      </c>
      <c r="D458" s="127">
        <v>2950.26611328125</v>
      </c>
      <c r="E458" s="56">
        <f t="shared" si="15"/>
        <v>-3.8135121655654691E-3</v>
      </c>
    </row>
    <row r="459" spans="1:5" x14ac:dyDescent="0.3">
      <c r="A459" s="126">
        <v>44923</v>
      </c>
      <c r="B459" s="127">
        <v>18122.5</v>
      </c>
      <c r="C459" s="56">
        <f t="shared" si="14"/>
        <v>-5.4051503823138169E-4</v>
      </c>
      <c r="D459" s="127">
        <v>2906.43505859375</v>
      </c>
      <c r="E459" s="56">
        <f t="shared" si="15"/>
        <v>-1.4856644453252965E-2</v>
      </c>
    </row>
    <row r="460" spans="1:5" x14ac:dyDescent="0.3">
      <c r="A460" s="126">
        <v>44924</v>
      </c>
      <c r="B460" s="127">
        <v>18191</v>
      </c>
      <c r="C460" s="56">
        <f t="shared" si="14"/>
        <v>3.7798317009243299E-3</v>
      </c>
      <c r="D460" s="127">
        <v>2886.73022460937</v>
      </c>
      <c r="E460" s="56">
        <f t="shared" si="15"/>
        <v>-6.7797262237518918E-3</v>
      </c>
    </row>
    <row r="461" spans="1:5" x14ac:dyDescent="0.3">
      <c r="A461" s="126">
        <v>44925</v>
      </c>
      <c r="B461" s="127">
        <v>18105.30078125</v>
      </c>
      <c r="C461" s="56">
        <f t="shared" si="14"/>
        <v>-4.7110779368918498E-3</v>
      </c>
      <c r="D461" s="127">
        <v>2888.1240234375</v>
      </c>
      <c r="E461" s="56">
        <f t="shared" si="15"/>
        <v>4.8282960986378853E-4</v>
      </c>
    </row>
    <row r="462" spans="1:5" x14ac:dyDescent="0.3">
      <c r="A462" s="126">
        <v>44928</v>
      </c>
      <c r="B462" s="127">
        <v>18197.44921875</v>
      </c>
      <c r="C462" s="56">
        <f t="shared" si="14"/>
        <v>5.0895833553579184E-3</v>
      </c>
      <c r="D462" s="127">
        <v>2884.71142578125</v>
      </c>
      <c r="E462" s="56">
        <f t="shared" si="15"/>
        <v>-1.1815966449350013E-3</v>
      </c>
    </row>
    <row r="463" spans="1:5" x14ac:dyDescent="0.3">
      <c r="A463" s="126">
        <v>44929</v>
      </c>
      <c r="B463" s="127">
        <v>18232.55078125</v>
      </c>
      <c r="C463" s="56">
        <f t="shared" si="14"/>
        <v>1.9289276248581899E-3</v>
      </c>
      <c r="D463" s="127">
        <v>2911.28881835937</v>
      </c>
      <c r="E463" s="56">
        <f t="shared" si="15"/>
        <v>9.2131893473268445E-3</v>
      </c>
    </row>
    <row r="464" spans="1:5" x14ac:dyDescent="0.3">
      <c r="A464" s="126">
        <v>44930</v>
      </c>
      <c r="B464" s="127">
        <v>18042.94921875</v>
      </c>
      <c r="C464" s="56">
        <f t="shared" si="14"/>
        <v>-1.0399069487028845E-2</v>
      </c>
      <c r="D464" s="127">
        <v>2907.58837890625</v>
      </c>
      <c r="E464" s="56">
        <f t="shared" si="15"/>
        <v>-1.2710657320510466E-3</v>
      </c>
    </row>
    <row r="465" spans="1:5" x14ac:dyDescent="0.3">
      <c r="A465" s="126">
        <v>44931</v>
      </c>
      <c r="B465" s="127">
        <v>17992.150390625</v>
      </c>
      <c r="C465" s="56">
        <f t="shared" si="14"/>
        <v>-2.8154392892826285E-3</v>
      </c>
      <c r="D465" s="127">
        <v>2924.98608398437</v>
      </c>
      <c r="E465" s="56">
        <f t="shared" si="15"/>
        <v>5.9835515935939831E-3</v>
      </c>
    </row>
    <row r="466" spans="1:5" x14ac:dyDescent="0.3">
      <c r="A466" s="126">
        <v>44932</v>
      </c>
      <c r="B466" s="127">
        <v>17859.44921875</v>
      </c>
      <c r="C466" s="56">
        <f t="shared" si="14"/>
        <v>-7.3755037054461514E-3</v>
      </c>
      <c r="D466" s="127">
        <v>2913.74047851562</v>
      </c>
      <c r="E466" s="56">
        <f t="shared" si="15"/>
        <v>-3.8446697337553015E-3</v>
      </c>
    </row>
    <row r="467" spans="1:5" x14ac:dyDescent="0.3">
      <c r="A467" s="126">
        <v>44935</v>
      </c>
      <c r="B467" s="127">
        <v>18101.19921875</v>
      </c>
      <c r="C467" s="56">
        <f t="shared" si="14"/>
        <v>1.3536251708490266E-2</v>
      </c>
      <c r="D467" s="127">
        <v>2931.57006835937</v>
      </c>
      <c r="E467" s="56">
        <f t="shared" si="15"/>
        <v>6.1191413494838809E-3</v>
      </c>
    </row>
    <row r="468" spans="1:5" x14ac:dyDescent="0.3">
      <c r="A468" s="126">
        <v>44936</v>
      </c>
      <c r="B468" s="127">
        <v>17914.150390625</v>
      </c>
      <c r="C468" s="56">
        <f t="shared" si="14"/>
        <v>-1.0333504750958511E-2</v>
      </c>
      <c r="D468" s="127">
        <v>2960.02172851562</v>
      </c>
      <c r="E468" s="56">
        <f t="shared" si="15"/>
        <v>9.705263559391053E-3</v>
      </c>
    </row>
    <row r="469" spans="1:5" x14ac:dyDescent="0.3">
      <c r="A469" s="126">
        <v>44937</v>
      </c>
      <c r="B469" s="127">
        <v>17895.69921875</v>
      </c>
      <c r="C469" s="56">
        <f t="shared" si="14"/>
        <v>-1.0299775022909463E-3</v>
      </c>
      <c r="D469" s="127">
        <v>2926.33178710937</v>
      </c>
      <c r="E469" s="56">
        <f t="shared" si="15"/>
        <v>-1.1381653412100068E-2</v>
      </c>
    </row>
    <row r="470" spans="1:5" x14ac:dyDescent="0.3">
      <c r="A470" s="126">
        <v>44938</v>
      </c>
      <c r="B470" s="127">
        <v>17858.19921875</v>
      </c>
      <c r="C470" s="56">
        <f t="shared" si="14"/>
        <v>-2.0954755408891801E-3</v>
      </c>
      <c r="D470" s="127">
        <v>2942.5283203125</v>
      </c>
      <c r="E470" s="56">
        <f t="shared" si="15"/>
        <v>5.5347562687444452E-3</v>
      </c>
    </row>
    <row r="471" spans="1:5" x14ac:dyDescent="0.3">
      <c r="A471" s="126">
        <v>44939</v>
      </c>
      <c r="B471" s="127">
        <v>17956.599609375</v>
      </c>
      <c r="C471" s="56">
        <f t="shared" si="14"/>
        <v>5.510095918388247E-3</v>
      </c>
      <c r="D471" s="127">
        <v>2907.87670898437</v>
      </c>
      <c r="E471" s="56">
        <f t="shared" si="15"/>
        <v>-1.1776135199422666E-2</v>
      </c>
    </row>
    <row r="472" spans="1:5" x14ac:dyDescent="0.3">
      <c r="A472" s="126">
        <v>44942</v>
      </c>
      <c r="B472" s="127">
        <v>17894.849609375</v>
      </c>
      <c r="C472" s="56">
        <f t="shared" si="14"/>
        <v>-3.4388470725693621E-3</v>
      </c>
      <c r="D472" s="127">
        <v>2921.76611328125</v>
      </c>
      <c r="E472" s="56">
        <f t="shared" si="15"/>
        <v>4.7764763388924436E-3</v>
      </c>
    </row>
    <row r="473" spans="1:5" x14ac:dyDescent="0.3">
      <c r="A473" s="126">
        <v>44943</v>
      </c>
      <c r="B473" s="127">
        <v>18053.30078125</v>
      </c>
      <c r="C473" s="56">
        <f t="shared" si="14"/>
        <v>8.8545685118242012E-3</v>
      </c>
      <c r="D473" s="127">
        <v>2917.00805664062</v>
      </c>
      <c r="E473" s="56">
        <f t="shared" si="15"/>
        <v>-1.6284864893879591E-3</v>
      </c>
    </row>
    <row r="474" spans="1:5" x14ac:dyDescent="0.3">
      <c r="A474" s="126">
        <v>44944</v>
      </c>
      <c r="B474" s="127">
        <v>18165.349609375</v>
      </c>
      <c r="C474" s="56">
        <f t="shared" si="14"/>
        <v>6.2065563235600418E-3</v>
      </c>
      <c r="D474" s="127">
        <v>2940.509765625</v>
      </c>
      <c r="E474" s="56">
        <f t="shared" si="15"/>
        <v>8.056785764056329E-3</v>
      </c>
    </row>
    <row r="475" spans="1:5" x14ac:dyDescent="0.3">
      <c r="A475" s="126">
        <v>44945</v>
      </c>
      <c r="B475" s="127">
        <v>18107.849609375</v>
      </c>
      <c r="C475" s="56">
        <f t="shared" si="14"/>
        <v>-3.1653670992560778E-3</v>
      </c>
      <c r="D475" s="127">
        <v>2915.47021484375</v>
      </c>
      <c r="E475" s="56">
        <f t="shared" si="15"/>
        <v>-8.5153775287422073E-3</v>
      </c>
    </row>
    <row r="476" spans="1:5" x14ac:dyDescent="0.3">
      <c r="A476" s="126">
        <v>44946</v>
      </c>
      <c r="B476" s="127">
        <v>18027.650390625</v>
      </c>
      <c r="C476" s="56">
        <f t="shared" si="14"/>
        <v>-4.4289753051891534E-3</v>
      </c>
      <c r="D476" s="127">
        <v>2914.74951171875</v>
      </c>
      <c r="E476" s="56">
        <f t="shared" si="15"/>
        <v>-2.4719961854891004E-4</v>
      </c>
    </row>
    <row r="477" spans="1:5" x14ac:dyDescent="0.3">
      <c r="A477" s="126">
        <v>44949</v>
      </c>
      <c r="B477" s="127">
        <v>18118.55078125</v>
      </c>
      <c r="C477" s="56">
        <f t="shared" si="14"/>
        <v>5.0422760956287949E-3</v>
      </c>
      <c r="D477" s="127">
        <v>2928.11010742187</v>
      </c>
      <c r="E477" s="56">
        <f t="shared" si="15"/>
        <v>4.583788640980524E-3</v>
      </c>
    </row>
    <row r="478" spans="1:5" x14ac:dyDescent="0.3">
      <c r="A478" s="126">
        <v>44950</v>
      </c>
      <c r="B478" s="127">
        <v>18118.30078125</v>
      </c>
      <c r="C478" s="56">
        <f t="shared" si="14"/>
        <v>-1.3798013043020418E-5</v>
      </c>
      <c r="D478" s="127">
        <v>2892.49755859375</v>
      </c>
      <c r="E478" s="56">
        <f t="shared" si="15"/>
        <v>-1.2162298384153281E-2</v>
      </c>
    </row>
    <row r="479" spans="1:5" x14ac:dyDescent="0.3">
      <c r="A479" s="126">
        <v>44951</v>
      </c>
      <c r="B479" s="127">
        <v>17891.94921875</v>
      </c>
      <c r="C479" s="56">
        <f t="shared" si="14"/>
        <v>-1.2492979625012279E-2</v>
      </c>
      <c r="D479" s="127">
        <v>2903.02270507812</v>
      </c>
      <c r="E479" s="56">
        <f t="shared" si="15"/>
        <v>3.6387745438537511E-3</v>
      </c>
    </row>
    <row r="480" spans="1:5" x14ac:dyDescent="0.3">
      <c r="A480" s="126">
        <v>44953</v>
      </c>
      <c r="B480" s="127">
        <v>17604.349609375</v>
      </c>
      <c r="C480" s="56">
        <f t="shared" si="14"/>
        <v>-1.6074246906178757E-2</v>
      </c>
      <c r="D480" s="127">
        <v>2884.279296875</v>
      </c>
      <c r="E480" s="56">
        <f t="shared" si="15"/>
        <v>-6.4565145048066652E-3</v>
      </c>
    </row>
    <row r="481" spans="1:5" x14ac:dyDescent="0.3">
      <c r="A481" s="126">
        <v>44956</v>
      </c>
      <c r="B481" s="127">
        <v>17648.94921875</v>
      </c>
      <c r="C481" s="56">
        <f t="shared" si="14"/>
        <v>2.5334426073457816E-3</v>
      </c>
      <c r="D481" s="127">
        <v>2885.04809570312</v>
      </c>
      <c r="E481" s="56">
        <f t="shared" si="15"/>
        <v>2.6654798269820645E-4</v>
      </c>
    </row>
    <row r="482" spans="1:5" x14ac:dyDescent="0.3">
      <c r="A482" s="126">
        <v>44957</v>
      </c>
      <c r="B482" s="127">
        <v>17662.150390625</v>
      </c>
      <c r="C482" s="56">
        <f t="shared" si="14"/>
        <v>7.4798628016758961E-4</v>
      </c>
      <c r="D482" s="127">
        <v>2894.46826171875</v>
      </c>
      <c r="E482" s="56">
        <f t="shared" si="15"/>
        <v>3.2651677556641001E-3</v>
      </c>
    </row>
    <row r="483" spans="1:5" x14ac:dyDescent="0.3">
      <c r="A483" s="126">
        <v>44958</v>
      </c>
      <c r="B483" s="127">
        <v>17616.30078125</v>
      </c>
      <c r="C483" s="56">
        <f t="shared" si="14"/>
        <v>-2.5959245256645946E-3</v>
      </c>
      <c r="D483" s="127">
        <v>2912.875</v>
      </c>
      <c r="E483" s="56">
        <f t="shared" si="15"/>
        <v>6.3592814351054461E-3</v>
      </c>
    </row>
    <row r="484" spans="1:5" x14ac:dyDescent="0.3">
      <c r="A484" s="126">
        <v>44959</v>
      </c>
      <c r="B484" s="127">
        <v>17610.400390625</v>
      </c>
      <c r="C484" s="56">
        <f t="shared" si="14"/>
        <v>-3.3493925303995642E-4</v>
      </c>
      <c r="D484" s="127">
        <v>2956.70556640625</v>
      </c>
      <c r="E484" s="56">
        <f t="shared" si="15"/>
        <v>1.504718410719641E-2</v>
      </c>
    </row>
    <row r="485" spans="1:5" x14ac:dyDescent="0.3">
      <c r="A485" s="126">
        <v>44960</v>
      </c>
      <c r="B485" s="127">
        <v>17854.05078125</v>
      </c>
      <c r="C485" s="56">
        <f t="shared" si="14"/>
        <v>1.3835596307890219E-2</v>
      </c>
      <c r="D485" s="127">
        <v>2932.8681640625</v>
      </c>
      <c r="E485" s="56">
        <f t="shared" si="15"/>
        <v>-8.0621495134949317E-3</v>
      </c>
    </row>
    <row r="486" spans="1:5" x14ac:dyDescent="0.3">
      <c r="A486" s="126">
        <v>44963</v>
      </c>
      <c r="B486" s="127">
        <v>17764.599609375</v>
      </c>
      <c r="C486" s="56">
        <f t="shared" si="14"/>
        <v>-5.0101331608701782E-3</v>
      </c>
      <c r="D486" s="127">
        <v>2949.2568359375</v>
      </c>
      <c r="E486" s="56">
        <f t="shared" si="15"/>
        <v>5.5879333670079134E-3</v>
      </c>
    </row>
    <row r="487" spans="1:5" x14ac:dyDescent="0.3">
      <c r="A487" s="126">
        <v>44964</v>
      </c>
      <c r="B487" s="127">
        <v>17721.5</v>
      </c>
      <c r="C487" s="56">
        <f t="shared" si="14"/>
        <v>-2.4261514654264627E-3</v>
      </c>
      <c r="D487" s="127">
        <v>2950.4580078125</v>
      </c>
      <c r="E487" s="56">
        <f t="shared" si="15"/>
        <v>4.0727950864205553E-4</v>
      </c>
    </row>
    <row r="488" spans="1:5" x14ac:dyDescent="0.3">
      <c r="A488" s="126">
        <v>44965</v>
      </c>
      <c r="B488" s="127">
        <v>17871.69921875</v>
      </c>
      <c r="C488" s="56">
        <f t="shared" si="14"/>
        <v>8.4755364246817955E-3</v>
      </c>
      <c r="D488" s="127">
        <v>3057.39184570312</v>
      </c>
      <c r="E488" s="56">
        <f t="shared" si="15"/>
        <v>3.62431316112517E-2</v>
      </c>
    </row>
    <row r="489" spans="1:5" x14ac:dyDescent="0.3">
      <c r="A489" s="126">
        <v>44966</v>
      </c>
      <c r="B489" s="127">
        <v>17893.44921875</v>
      </c>
      <c r="C489" s="56">
        <f t="shared" si="14"/>
        <v>1.2170079483646568E-3</v>
      </c>
      <c r="D489" s="127">
        <v>3105.115234375</v>
      </c>
      <c r="E489" s="56">
        <f t="shared" si="15"/>
        <v>1.5609182950805156E-2</v>
      </c>
    </row>
    <row r="490" spans="1:5" x14ac:dyDescent="0.3">
      <c r="A490" s="126">
        <v>44967</v>
      </c>
      <c r="B490" s="127">
        <v>17856.5</v>
      </c>
      <c r="C490" s="56">
        <f t="shared" si="14"/>
        <v>-2.0649578680046465E-3</v>
      </c>
      <c r="D490" s="127">
        <v>3164.9501953125</v>
      </c>
      <c r="E490" s="56">
        <f t="shared" si="15"/>
        <v>1.9269803669474284E-2</v>
      </c>
    </row>
    <row r="491" spans="1:5" x14ac:dyDescent="0.3">
      <c r="A491" s="126">
        <v>44970</v>
      </c>
      <c r="B491" s="127">
        <v>17770.900390625</v>
      </c>
      <c r="C491" s="56">
        <f t="shared" si="14"/>
        <v>-4.79375070002519E-3</v>
      </c>
      <c r="D491" s="127">
        <v>3139.333984375</v>
      </c>
      <c r="E491" s="56">
        <f t="shared" si="15"/>
        <v>-8.0937169170748335E-3</v>
      </c>
    </row>
    <row r="492" spans="1:5" x14ac:dyDescent="0.3">
      <c r="A492" s="126">
        <v>44971</v>
      </c>
      <c r="B492" s="127">
        <v>17929.849609375</v>
      </c>
      <c r="C492" s="56">
        <f t="shared" si="14"/>
        <v>8.944353704996022E-3</v>
      </c>
      <c r="D492" s="127">
        <v>3153.03100585937</v>
      </c>
      <c r="E492" s="56">
        <f t="shared" si="15"/>
        <v>4.363034182582215E-3</v>
      </c>
    </row>
    <row r="493" spans="1:5" x14ac:dyDescent="0.3">
      <c r="A493" s="126">
        <v>44972</v>
      </c>
      <c r="B493" s="127">
        <v>18015.849609375</v>
      </c>
      <c r="C493" s="56">
        <f t="shared" si="14"/>
        <v>4.7964707944361251E-3</v>
      </c>
      <c r="D493" s="127">
        <v>3185.27954101562</v>
      </c>
      <c r="E493" s="56">
        <f t="shared" si="15"/>
        <v>1.0227788783656599E-2</v>
      </c>
    </row>
    <row r="494" spans="1:5" x14ac:dyDescent="0.3">
      <c r="A494" s="126">
        <v>44973</v>
      </c>
      <c r="B494" s="127">
        <v>18035.849609375</v>
      </c>
      <c r="C494" s="56">
        <f t="shared" si="14"/>
        <v>1.1101336008929596E-3</v>
      </c>
      <c r="D494" s="127">
        <v>3179.32006835937</v>
      </c>
      <c r="E494" s="56">
        <f t="shared" si="15"/>
        <v>-1.8709418057386573E-3</v>
      </c>
    </row>
    <row r="495" spans="1:5" x14ac:dyDescent="0.3">
      <c r="A495" s="126">
        <v>44974</v>
      </c>
      <c r="B495" s="127">
        <v>17944.19921875</v>
      </c>
      <c r="C495" s="56">
        <f t="shared" si="14"/>
        <v>-5.0815676893513073E-3</v>
      </c>
      <c r="D495" s="127">
        <v>3173.77465820312</v>
      </c>
      <c r="E495" s="56">
        <f t="shared" si="15"/>
        <v>-1.7442126105634559E-3</v>
      </c>
    </row>
    <row r="496" spans="1:5" x14ac:dyDescent="0.3">
      <c r="A496" s="126">
        <v>44977</v>
      </c>
      <c r="B496" s="127">
        <v>17844.599609375</v>
      </c>
      <c r="C496" s="56">
        <f t="shared" si="14"/>
        <v>-5.5505184801407648E-3</v>
      </c>
      <c r="D496" s="127">
        <v>3187.4931640625</v>
      </c>
      <c r="E496" s="56">
        <f t="shared" si="15"/>
        <v>4.3224574321691911E-3</v>
      </c>
    </row>
    <row r="497" spans="1:5" x14ac:dyDescent="0.3">
      <c r="A497" s="126">
        <v>44978</v>
      </c>
      <c r="B497" s="127">
        <v>17826.69921875</v>
      </c>
      <c r="C497" s="56">
        <f t="shared" si="14"/>
        <v>-1.0031264929920569E-3</v>
      </c>
      <c r="D497" s="127">
        <v>3167.64428710937</v>
      </c>
      <c r="E497" s="56">
        <f t="shared" si="15"/>
        <v>-6.2271120066755836E-3</v>
      </c>
    </row>
    <row r="498" spans="1:5" x14ac:dyDescent="0.3">
      <c r="A498" s="126">
        <v>44979</v>
      </c>
      <c r="B498" s="127">
        <v>17554.30078125</v>
      </c>
      <c r="C498" s="56">
        <f t="shared" si="14"/>
        <v>-1.5280363131582653E-2</v>
      </c>
      <c r="D498" s="127">
        <v>3187.83374023437</v>
      </c>
      <c r="E498" s="56">
        <f t="shared" si="15"/>
        <v>6.3736490890597963E-3</v>
      </c>
    </row>
    <row r="499" spans="1:5" x14ac:dyDescent="0.3">
      <c r="A499" s="126">
        <v>44980</v>
      </c>
      <c r="B499" s="127">
        <v>17511.25</v>
      </c>
      <c r="C499" s="56">
        <f t="shared" si="14"/>
        <v>-2.4524349779846411E-3</v>
      </c>
      <c r="D499" s="127">
        <v>3186.9580078125</v>
      </c>
      <c r="E499" s="56">
        <f t="shared" si="15"/>
        <v>-2.7471082033458938E-4</v>
      </c>
    </row>
    <row r="500" spans="1:5" x14ac:dyDescent="0.3">
      <c r="A500" s="126">
        <v>44981</v>
      </c>
      <c r="B500" s="127">
        <v>17465.80078125</v>
      </c>
      <c r="C500" s="56">
        <f t="shared" si="14"/>
        <v>-2.5954297237490431E-3</v>
      </c>
      <c r="D500" s="127">
        <v>3208.21728515625</v>
      </c>
      <c r="E500" s="56">
        <f t="shared" si="15"/>
        <v>6.6707114720794269E-3</v>
      </c>
    </row>
    <row r="501" spans="1:5" x14ac:dyDescent="0.3">
      <c r="A501" s="126">
        <v>44984</v>
      </c>
      <c r="B501" s="127">
        <v>17392.69921875</v>
      </c>
      <c r="C501" s="56">
        <f t="shared" si="14"/>
        <v>-4.1854114458053093E-3</v>
      </c>
      <c r="D501" s="127">
        <v>3184.13647460937</v>
      </c>
      <c r="E501" s="56">
        <f t="shared" si="15"/>
        <v>-7.505978681150105E-3</v>
      </c>
    </row>
    <row r="502" spans="1:5" x14ac:dyDescent="0.3">
      <c r="A502" s="126">
        <v>44985</v>
      </c>
      <c r="B502" s="127">
        <v>17303.94921875</v>
      </c>
      <c r="C502" s="56">
        <f t="shared" si="14"/>
        <v>-5.1027157362857345E-3</v>
      </c>
      <c r="D502" s="127">
        <v>3089.17456054687</v>
      </c>
      <c r="E502" s="56">
        <f t="shared" si="15"/>
        <v>-2.9823443442118736E-2</v>
      </c>
    </row>
    <row r="503" spans="1:5" x14ac:dyDescent="0.3">
      <c r="A503" s="126">
        <v>44986</v>
      </c>
      <c r="B503" s="127">
        <v>17450.900390625</v>
      </c>
      <c r="C503" s="56">
        <f t="shared" si="14"/>
        <v>8.4923487706360934E-3</v>
      </c>
      <c r="D503" s="127">
        <v>3034.88330078125</v>
      </c>
      <c r="E503" s="56">
        <f t="shared" si="15"/>
        <v>-1.7574681747997034E-2</v>
      </c>
    </row>
    <row r="504" spans="1:5" x14ac:dyDescent="0.3">
      <c r="A504" s="126">
        <v>44987</v>
      </c>
      <c r="B504" s="127">
        <v>17321.900390625</v>
      </c>
      <c r="C504" s="56">
        <f t="shared" si="14"/>
        <v>-7.392168719804415E-3</v>
      </c>
      <c r="D504" s="127">
        <v>3041.98583984375</v>
      </c>
      <c r="E504" s="56">
        <f t="shared" si="15"/>
        <v>2.340300551481489E-3</v>
      </c>
    </row>
    <row r="505" spans="1:5" x14ac:dyDescent="0.3">
      <c r="A505" s="126">
        <v>44988</v>
      </c>
      <c r="B505" s="127">
        <v>17594.349609375</v>
      </c>
      <c r="C505" s="56">
        <f t="shared" si="14"/>
        <v>1.5728598629827895E-2</v>
      </c>
      <c r="D505" s="127">
        <v>3073.8017578125</v>
      </c>
      <c r="E505" s="56">
        <f t="shared" si="15"/>
        <v>1.0458930331636251E-2</v>
      </c>
    </row>
    <row r="506" spans="1:5" x14ac:dyDescent="0.3">
      <c r="A506" s="126">
        <v>44991</v>
      </c>
      <c r="B506" s="127">
        <v>17711.44921875</v>
      </c>
      <c r="C506" s="56">
        <f t="shared" si="14"/>
        <v>6.6555236183669653E-3</v>
      </c>
      <c r="D506" s="127">
        <v>3072.09912109375</v>
      </c>
      <c r="E506" s="56">
        <f t="shared" si="15"/>
        <v>-5.5391884477340447E-4</v>
      </c>
    </row>
    <row r="507" spans="1:5" x14ac:dyDescent="0.3">
      <c r="A507" s="126">
        <v>44993</v>
      </c>
      <c r="B507" s="127">
        <v>17754.400390625</v>
      </c>
      <c r="C507" s="56">
        <f t="shared" si="14"/>
        <v>2.4250512391459367E-3</v>
      </c>
      <c r="D507" s="127">
        <v>3056.580078125</v>
      </c>
      <c r="E507" s="56">
        <f t="shared" si="15"/>
        <v>-5.0516088046094199E-3</v>
      </c>
    </row>
    <row r="508" spans="1:5" x14ac:dyDescent="0.3">
      <c r="A508" s="126">
        <v>44994</v>
      </c>
      <c r="B508" s="127">
        <v>17589.599609375</v>
      </c>
      <c r="C508" s="56">
        <f t="shared" si="14"/>
        <v>-9.2822498999752812E-3</v>
      </c>
      <c r="D508" s="127">
        <v>3078.27709960937</v>
      </c>
      <c r="E508" s="56">
        <f t="shared" si="15"/>
        <v>7.0984632922423962E-3</v>
      </c>
    </row>
    <row r="509" spans="1:5" x14ac:dyDescent="0.3">
      <c r="A509" s="126">
        <v>44995</v>
      </c>
      <c r="B509" s="127">
        <v>17412.900390625</v>
      </c>
      <c r="C509" s="56">
        <f t="shared" si="14"/>
        <v>-1.0045664635585094E-2</v>
      </c>
      <c r="D509" s="127">
        <v>3060.81274414062</v>
      </c>
      <c r="E509" s="56">
        <f t="shared" si="15"/>
        <v>-5.6734188975274824E-3</v>
      </c>
    </row>
    <row r="510" spans="1:5" x14ac:dyDescent="0.3">
      <c r="A510" s="126">
        <v>44998</v>
      </c>
      <c r="B510" s="127">
        <v>17154.30078125</v>
      </c>
      <c r="C510" s="56">
        <f t="shared" si="14"/>
        <v>-1.4851035931626178E-2</v>
      </c>
      <c r="D510" s="127">
        <v>2983.75366210937</v>
      </c>
      <c r="E510" s="56">
        <f t="shared" si="15"/>
        <v>-2.5176019728343713E-2</v>
      </c>
    </row>
    <row r="511" spans="1:5" x14ac:dyDescent="0.3">
      <c r="A511" s="126">
        <v>44999</v>
      </c>
      <c r="B511" s="127">
        <v>17043.30078125</v>
      </c>
      <c r="C511" s="56">
        <f t="shared" si="14"/>
        <v>-6.4706805258611944E-3</v>
      </c>
      <c r="D511" s="127">
        <v>3003.35888671875</v>
      </c>
      <c r="E511" s="56">
        <f t="shared" si="15"/>
        <v>6.5706579126643128E-3</v>
      </c>
    </row>
    <row r="512" spans="1:5" x14ac:dyDescent="0.3">
      <c r="A512" s="126">
        <v>45000</v>
      </c>
      <c r="B512" s="127">
        <v>16972.150390625</v>
      </c>
      <c r="C512" s="56">
        <f t="shared" si="14"/>
        <v>-4.1746837386849034E-3</v>
      </c>
      <c r="D512" s="127">
        <v>2996.59692382812</v>
      </c>
      <c r="E512" s="56">
        <f t="shared" si="15"/>
        <v>-2.2514668228736934E-3</v>
      </c>
    </row>
    <row r="513" spans="1:5" x14ac:dyDescent="0.3">
      <c r="A513" s="126">
        <v>45001</v>
      </c>
      <c r="B513" s="127">
        <v>16985.599609375</v>
      </c>
      <c r="C513" s="56">
        <f t="shared" si="14"/>
        <v>7.9242868113094111E-4</v>
      </c>
      <c r="D513" s="127">
        <v>3069.76391601562</v>
      </c>
      <c r="E513" s="56">
        <f t="shared" si="15"/>
        <v>2.4416694686461238E-2</v>
      </c>
    </row>
    <row r="514" spans="1:5" x14ac:dyDescent="0.3">
      <c r="A514" s="126">
        <v>45002</v>
      </c>
      <c r="B514" s="127">
        <v>17100.05078125</v>
      </c>
      <c r="C514" s="56">
        <f t="shared" si="14"/>
        <v>6.7381296219788389E-3</v>
      </c>
      <c r="D514" s="127">
        <v>3029.09399414062</v>
      </c>
      <c r="E514" s="56">
        <f t="shared" si="15"/>
        <v>-1.3248550373146317E-2</v>
      </c>
    </row>
    <row r="515" spans="1:5" x14ac:dyDescent="0.3">
      <c r="A515" s="126">
        <v>45005</v>
      </c>
      <c r="B515" s="127">
        <v>16988.400390625</v>
      </c>
      <c r="C515" s="56">
        <f t="shared" si="14"/>
        <v>-6.5292432199922645E-3</v>
      </c>
      <c r="D515" s="127">
        <v>3030.99145507812</v>
      </c>
      <c r="E515" s="56">
        <f t="shared" si="15"/>
        <v>6.264120364605219E-4</v>
      </c>
    </row>
    <row r="516" spans="1:5" x14ac:dyDescent="0.3">
      <c r="A516" s="126">
        <v>45006</v>
      </c>
      <c r="B516" s="127">
        <v>17107.5</v>
      </c>
      <c r="C516" s="56">
        <f t="shared" si="14"/>
        <v>7.0106429467440279E-3</v>
      </c>
      <c r="D516" s="127">
        <v>3032.35327148437</v>
      </c>
      <c r="E516" s="56">
        <f t="shared" si="15"/>
        <v>4.4929734261311971E-4</v>
      </c>
    </row>
    <row r="517" spans="1:5" x14ac:dyDescent="0.3">
      <c r="A517" s="126">
        <v>45007</v>
      </c>
      <c r="B517" s="127">
        <v>17151.900390625</v>
      </c>
      <c r="C517" s="56">
        <f t="shared" si="14"/>
        <v>2.5953757489405316E-3</v>
      </c>
      <c r="D517" s="127">
        <v>3126.34204101562</v>
      </c>
      <c r="E517" s="56">
        <f t="shared" si="15"/>
        <v>3.0995323142293918E-2</v>
      </c>
    </row>
    <row r="518" spans="1:5" x14ac:dyDescent="0.3">
      <c r="A518" s="126">
        <v>45008</v>
      </c>
      <c r="B518" s="127">
        <v>17076.900390625</v>
      </c>
      <c r="C518" s="56">
        <f t="shared" si="14"/>
        <v>-4.3726933046436267E-3</v>
      </c>
      <c r="D518" s="127">
        <v>3064.60717773437</v>
      </c>
      <c r="E518" s="56">
        <f t="shared" si="15"/>
        <v>-1.9746675978292827E-2</v>
      </c>
    </row>
    <row r="519" spans="1:5" x14ac:dyDescent="0.3">
      <c r="A519" s="126">
        <v>45009</v>
      </c>
      <c r="B519" s="127">
        <v>16945.05078125</v>
      </c>
      <c r="C519" s="56">
        <f t="shared" ref="C519:C582" si="16">B519/B518-1</f>
        <v>-7.7209333285906956E-3</v>
      </c>
      <c r="D519" s="127">
        <v>3068.4990234375</v>
      </c>
      <c r="E519" s="56">
        <f t="shared" ref="E519:E582" si="17">D519/D518-1</f>
        <v>1.2699329726191255E-3</v>
      </c>
    </row>
    <row r="520" spans="1:5" x14ac:dyDescent="0.3">
      <c r="A520" s="126">
        <v>45012</v>
      </c>
      <c r="B520" s="127">
        <v>16985.69921875</v>
      </c>
      <c r="C520" s="56">
        <f t="shared" si="16"/>
        <v>2.3988383407489433E-3</v>
      </c>
      <c r="D520" s="127">
        <v>3140.693359375</v>
      </c>
      <c r="E520" s="56">
        <f t="shared" si="17"/>
        <v>2.3527573379060085E-2</v>
      </c>
    </row>
    <row r="521" spans="1:5" x14ac:dyDescent="0.3">
      <c r="A521" s="126">
        <v>45013</v>
      </c>
      <c r="B521" s="127">
        <v>16951.69921875</v>
      </c>
      <c r="C521" s="56">
        <f t="shared" si="16"/>
        <v>-2.0016838613549082E-3</v>
      </c>
      <c r="D521" s="127">
        <v>3153.1962890625</v>
      </c>
      <c r="E521" s="56">
        <f t="shared" si="17"/>
        <v>3.9809456883712624E-3</v>
      </c>
    </row>
    <row r="522" spans="1:5" x14ac:dyDescent="0.3">
      <c r="A522" s="126">
        <v>45014</v>
      </c>
      <c r="B522" s="127">
        <v>17080.69921875</v>
      </c>
      <c r="C522" s="56">
        <f t="shared" si="16"/>
        <v>7.6098565893214509E-3</v>
      </c>
      <c r="D522" s="127">
        <v>3211.087890625</v>
      </c>
      <c r="E522" s="56">
        <f t="shared" si="17"/>
        <v>1.8359656759494802E-2</v>
      </c>
    </row>
    <row r="523" spans="1:5" x14ac:dyDescent="0.3">
      <c r="A523" s="126">
        <v>45016</v>
      </c>
      <c r="B523" s="127">
        <v>17359.75</v>
      </c>
      <c r="C523" s="56">
        <f t="shared" si="16"/>
        <v>1.6337198944623932E-2</v>
      </c>
      <c r="D523" s="127">
        <v>3304.29809570312</v>
      </c>
      <c r="E523" s="56">
        <f t="shared" si="17"/>
        <v>2.9027609412452859E-2</v>
      </c>
    </row>
    <row r="524" spans="1:5" x14ac:dyDescent="0.3">
      <c r="A524" s="126">
        <v>45019</v>
      </c>
      <c r="B524" s="127">
        <v>17398.05078125</v>
      </c>
      <c r="C524" s="56">
        <f t="shared" si="16"/>
        <v>2.206297973761151E-3</v>
      </c>
      <c r="D524" s="127">
        <v>3307.89794921875</v>
      </c>
      <c r="E524" s="56">
        <f t="shared" si="17"/>
        <v>1.0894457495560506E-3</v>
      </c>
    </row>
    <row r="525" spans="1:5" x14ac:dyDescent="0.3">
      <c r="A525" s="126">
        <v>45021</v>
      </c>
      <c r="B525" s="127">
        <v>17557.05078125</v>
      </c>
      <c r="C525" s="56">
        <f t="shared" si="16"/>
        <v>9.1389548173612667E-3</v>
      </c>
      <c r="D525" s="127">
        <v>3316.65478515625</v>
      </c>
      <c r="E525" s="56">
        <f t="shared" si="17"/>
        <v>2.64725093456053E-3</v>
      </c>
    </row>
    <row r="526" spans="1:5" x14ac:dyDescent="0.3">
      <c r="A526" s="126">
        <v>45022</v>
      </c>
      <c r="B526" s="127">
        <v>17599.150390625</v>
      </c>
      <c r="C526" s="56">
        <f t="shared" si="16"/>
        <v>2.3978747854371818E-3</v>
      </c>
      <c r="D526" s="127">
        <v>3313.58984375</v>
      </c>
      <c r="E526" s="56">
        <f t="shared" si="17"/>
        <v>-9.2410624704364341E-4</v>
      </c>
    </row>
    <row r="527" spans="1:5" x14ac:dyDescent="0.3">
      <c r="A527" s="126">
        <v>45026</v>
      </c>
      <c r="B527" s="127">
        <v>17624.05078125</v>
      </c>
      <c r="C527" s="56">
        <f t="shared" si="16"/>
        <v>1.4148632219350699E-3</v>
      </c>
      <c r="D527" s="127">
        <v>3281.384765625</v>
      </c>
      <c r="E527" s="56">
        <f t="shared" si="17"/>
        <v>-9.7190900635286681E-3</v>
      </c>
    </row>
    <row r="528" spans="1:5" x14ac:dyDescent="0.3">
      <c r="A528" s="126">
        <v>45027</v>
      </c>
      <c r="B528" s="127">
        <v>17722.30078125</v>
      </c>
      <c r="C528" s="56">
        <f t="shared" si="16"/>
        <v>5.5747683219642408E-3</v>
      </c>
      <c r="D528" s="127">
        <v>3241.4931640625</v>
      </c>
      <c r="E528" s="56">
        <f t="shared" si="17"/>
        <v>-1.2156941173249391E-2</v>
      </c>
    </row>
    <row r="529" spans="1:5" x14ac:dyDescent="0.3">
      <c r="A529" s="126">
        <v>45028</v>
      </c>
      <c r="B529" s="127">
        <v>17812.400390625</v>
      </c>
      <c r="C529" s="56">
        <f t="shared" si="16"/>
        <v>5.0839679614469446E-3</v>
      </c>
      <c r="D529" s="127">
        <v>3250.29858398437</v>
      </c>
      <c r="E529" s="56">
        <f t="shared" si="17"/>
        <v>2.7164703043316418E-3</v>
      </c>
    </row>
    <row r="530" spans="1:5" x14ac:dyDescent="0.3">
      <c r="A530" s="126">
        <v>45029</v>
      </c>
      <c r="B530" s="127">
        <v>17828</v>
      </c>
      <c r="C530" s="56">
        <f t="shared" si="16"/>
        <v>8.7577244127134968E-4</v>
      </c>
      <c r="D530" s="127">
        <v>3254.62841796875</v>
      </c>
      <c r="E530" s="56">
        <f t="shared" si="17"/>
        <v>1.3321342247494261E-3</v>
      </c>
    </row>
    <row r="531" spans="1:5" x14ac:dyDescent="0.3">
      <c r="A531" s="126">
        <v>45033</v>
      </c>
      <c r="B531" s="127">
        <v>17706.849609375</v>
      </c>
      <c r="C531" s="56">
        <f t="shared" si="16"/>
        <v>-6.7955121508301852E-3</v>
      </c>
      <c r="D531" s="127">
        <v>3242.271484375</v>
      </c>
      <c r="E531" s="56">
        <f t="shared" si="17"/>
        <v>-3.7967263868058376E-3</v>
      </c>
    </row>
    <row r="532" spans="1:5" x14ac:dyDescent="0.3">
      <c r="A532" s="126">
        <v>45034</v>
      </c>
      <c r="B532" s="127">
        <v>17660.150390625</v>
      </c>
      <c r="C532" s="56">
        <f t="shared" si="16"/>
        <v>-2.6373533282438855E-3</v>
      </c>
      <c r="D532" s="127">
        <v>3275.8388671875</v>
      </c>
      <c r="E532" s="56">
        <f t="shared" si="17"/>
        <v>1.0353045071723965E-2</v>
      </c>
    </row>
    <row r="533" spans="1:5" x14ac:dyDescent="0.3">
      <c r="A533" s="126">
        <v>45035</v>
      </c>
      <c r="B533" s="127">
        <v>17618.75</v>
      </c>
      <c r="C533" s="56">
        <f t="shared" si="16"/>
        <v>-2.3442830162407891E-3</v>
      </c>
      <c r="D533" s="127">
        <v>3251.36840820312</v>
      </c>
      <c r="E533" s="56">
        <f t="shared" si="17"/>
        <v>-7.4699824919621793E-3</v>
      </c>
    </row>
    <row r="534" spans="1:5" x14ac:dyDescent="0.3">
      <c r="A534" s="126">
        <v>45036</v>
      </c>
      <c r="B534" s="127">
        <v>17624.44921875</v>
      </c>
      <c r="C534" s="56">
        <f t="shared" si="16"/>
        <v>3.234746363958152E-4</v>
      </c>
      <c r="D534" s="127">
        <v>3265.18481445312</v>
      </c>
      <c r="E534" s="56">
        <f t="shared" si="17"/>
        <v>4.2494127134722337E-3</v>
      </c>
    </row>
    <row r="535" spans="1:5" x14ac:dyDescent="0.3">
      <c r="A535" s="126">
        <v>45037</v>
      </c>
      <c r="B535" s="127">
        <v>17624.05078125</v>
      </c>
      <c r="C535" s="56">
        <f t="shared" si="16"/>
        <v>-2.260708945023282E-5</v>
      </c>
      <c r="D535" s="127">
        <v>3316.84936523437</v>
      </c>
      <c r="E535" s="56">
        <f t="shared" si="17"/>
        <v>1.5822856504954963E-2</v>
      </c>
    </row>
    <row r="536" spans="1:5" x14ac:dyDescent="0.3">
      <c r="A536" s="126">
        <v>45040</v>
      </c>
      <c r="B536" s="127">
        <v>17743.400390625</v>
      </c>
      <c r="C536" s="56">
        <f t="shared" si="16"/>
        <v>6.7719737565652416E-3</v>
      </c>
      <c r="D536" s="127">
        <v>3336.11401367187</v>
      </c>
      <c r="E536" s="56">
        <f t="shared" si="17"/>
        <v>5.808116774739025E-3</v>
      </c>
    </row>
    <row r="537" spans="1:5" x14ac:dyDescent="0.3">
      <c r="A537" s="126">
        <v>45041</v>
      </c>
      <c r="B537" s="127">
        <v>17769.25</v>
      </c>
      <c r="C537" s="56">
        <f t="shared" si="16"/>
        <v>1.4568576938982503E-3</v>
      </c>
      <c r="D537" s="127">
        <v>3328.962890625</v>
      </c>
      <c r="E537" s="56">
        <f t="shared" si="17"/>
        <v>-2.143548756896152E-3</v>
      </c>
    </row>
    <row r="538" spans="1:5" x14ac:dyDescent="0.3">
      <c r="A538" s="126">
        <v>45042</v>
      </c>
      <c r="B538" s="127">
        <v>17813.599609375</v>
      </c>
      <c r="C538" s="56">
        <f t="shared" si="16"/>
        <v>2.4958627615121465E-3</v>
      </c>
      <c r="D538" s="127">
        <v>3334.21704101562</v>
      </c>
      <c r="E538" s="56">
        <f t="shared" si="17"/>
        <v>1.5783144971115437E-3</v>
      </c>
    </row>
    <row r="539" spans="1:5" x14ac:dyDescent="0.3">
      <c r="A539" s="126">
        <v>45043</v>
      </c>
      <c r="B539" s="127">
        <v>17915.05078125</v>
      </c>
      <c r="C539" s="56">
        <f t="shared" si="16"/>
        <v>5.6951528101938376E-3</v>
      </c>
      <c r="D539" s="127">
        <v>3342.63305664062</v>
      </c>
      <c r="E539" s="56">
        <f t="shared" si="17"/>
        <v>2.5241355081180306E-3</v>
      </c>
    </row>
    <row r="540" spans="1:5" x14ac:dyDescent="0.3">
      <c r="A540" s="126">
        <v>45044</v>
      </c>
      <c r="B540" s="127">
        <v>18065</v>
      </c>
      <c r="C540" s="56">
        <f t="shared" si="16"/>
        <v>8.3700136036979345E-3</v>
      </c>
      <c r="D540" s="127">
        <v>3415.02197265625</v>
      </c>
      <c r="E540" s="56">
        <f t="shared" si="17"/>
        <v>2.165625564906648E-2</v>
      </c>
    </row>
    <row r="541" spans="1:5" x14ac:dyDescent="0.3">
      <c r="A541" s="126">
        <v>45048</v>
      </c>
      <c r="B541" s="127">
        <v>18147.650390625</v>
      </c>
      <c r="C541" s="56">
        <f t="shared" si="16"/>
        <v>4.575166931912511E-3</v>
      </c>
      <c r="D541" s="127">
        <v>3423.3408203125</v>
      </c>
      <c r="E541" s="56">
        <f t="shared" si="17"/>
        <v>2.4359572860315204E-3</v>
      </c>
    </row>
    <row r="542" spans="1:5" x14ac:dyDescent="0.3">
      <c r="A542" s="126">
        <v>45049</v>
      </c>
      <c r="B542" s="127">
        <v>18089.849609375</v>
      </c>
      <c r="C542" s="56">
        <f t="shared" si="16"/>
        <v>-3.18502836487633E-3</v>
      </c>
      <c r="D542" s="127">
        <v>3422.07568359375</v>
      </c>
      <c r="E542" s="56">
        <f t="shared" si="17"/>
        <v>-3.6956201125026844E-4</v>
      </c>
    </row>
    <row r="543" spans="1:5" x14ac:dyDescent="0.3">
      <c r="A543" s="126">
        <v>45050</v>
      </c>
      <c r="B543" s="127">
        <v>18255.80078125</v>
      </c>
      <c r="C543" s="56">
        <f t="shared" si="16"/>
        <v>9.1737176073036775E-3</v>
      </c>
      <c r="D543" s="127">
        <v>3386.17333984375</v>
      </c>
      <c r="E543" s="56">
        <f t="shared" si="17"/>
        <v>-1.0491393840914909E-2</v>
      </c>
    </row>
    <row r="544" spans="1:5" x14ac:dyDescent="0.3">
      <c r="A544" s="126">
        <v>45051</v>
      </c>
      <c r="B544" s="127">
        <v>18069</v>
      </c>
      <c r="C544" s="56">
        <f t="shared" si="16"/>
        <v>-1.0232406865540389E-2</v>
      </c>
      <c r="D544" s="127">
        <v>3372.1142578125</v>
      </c>
      <c r="E544" s="56">
        <f t="shared" si="17"/>
        <v>-4.1519085469791106E-3</v>
      </c>
    </row>
    <row r="545" spans="1:5" x14ac:dyDescent="0.3">
      <c r="A545" s="126">
        <v>45054</v>
      </c>
      <c r="B545" s="127">
        <v>18264.400390625</v>
      </c>
      <c r="C545" s="56">
        <f t="shared" si="16"/>
        <v>1.0814123118324304E-2</v>
      </c>
      <c r="D545" s="127">
        <v>3418.330078125</v>
      </c>
      <c r="E545" s="56">
        <f t="shared" si="17"/>
        <v>1.3705294891899866E-2</v>
      </c>
    </row>
    <row r="546" spans="1:5" x14ac:dyDescent="0.3">
      <c r="A546" s="126">
        <v>45055</v>
      </c>
      <c r="B546" s="127">
        <v>18265.94921875</v>
      </c>
      <c r="C546" s="56">
        <f t="shared" si="16"/>
        <v>8.4800381719318807E-5</v>
      </c>
      <c r="D546" s="127">
        <v>3520.24853515625</v>
      </c>
      <c r="E546" s="56">
        <f t="shared" si="17"/>
        <v>2.9815276670752011E-2</v>
      </c>
    </row>
    <row r="547" spans="1:5" x14ac:dyDescent="0.3">
      <c r="A547" s="126">
        <v>45056</v>
      </c>
      <c r="B547" s="127">
        <v>18315.099609375</v>
      </c>
      <c r="C547" s="56">
        <f t="shared" si="16"/>
        <v>2.6908205008338015E-3</v>
      </c>
      <c r="D547" s="127">
        <v>3488.9189453125</v>
      </c>
      <c r="E547" s="56">
        <f t="shared" si="17"/>
        <v>-8.899823274085783E-3</v>
      </c>
    </row>
    <row r="548" spans="1:5" x14ac:dyDescent="0.3">
      <c r="A548" s="126">
        <v>45057</v>
      </c>
      <c r="B548" s="127">
        <v>18297</v>
      </c>
      <c r="C548" s="56">
        <f t="shared" si="16"/>
        <v>-9.8823428542726965E-4</v>
      </c>
      <c r="D548" s="127">
        <v>3403.10302734375</v>
      </c>
      <c r="E548" s="56">
        <f t="shared" si="17"/>
        <v>-2.4596707264881279E-2</v>
      </c>
    </row>
    <row r="549" spans="1:5" x14ac:dyDescent="0.3">
      <c r="A549" s="126">
        <v>45058</v>
      </c>
      <c r="B549" s="127">
        <v>18314.80078125</v>
      </c>
      <c r="C549" s="56">
        <f t="shared" si="16"/>
        <v>9.728797753729701E-4</v>
      </c>
      <c r="D549" s="127">
        <v>3316.65478515625</v>
      </c>
      <c r="E549" s="56">
        <f t="shared" si="17"/>
        <v>-2.5402769617285492E-2</v>
      </c>
    </row>
    <row r="550" spans="1:5" x14ac:dyDescent="0.3">
      <c r="A550" s="126">
        <v>45061</v>
      </c>
      <c r="B550" s="127">
        <v>18398.849609375</v>
      </c>
      <c r="C550" s="56">
        <f t="shared" si="16"/>
        <v>4.5891205221868514E-3</v>
      </c>
      <c r="D550" s="127">
        <v>3333.04931640625</v>
      </c>
      <c r="E550" s="56">
        <f t="shared" si="17"/>
        <v>4.9430924567048784E-3</v>
      </c>
    </row>
    <row r="551" spans="1:5" x14ac:dyDescent="0.3">
      <c r="A551" s="126">
        <v>45062</v>
      </c>
      <c r="B551" s="127">
        <v>18286.5</v>
      </c>
      <c r="C551" s="56">
        <f t="shared" si="16"/>
        <v>-6.106338807060685E-3</v>
      </c>
      <c r="D551" s="127">
        <v>3321.37377929687</v>
      </c>
      <c r="E551" s="56">
        <f t="shared" si="17"/>
        <v>-3.5029596027605914E-3</v>
      </c>
    </row>
    <row r="552" spans="1:5" x14ac:dyDescent="0.3">
      <c r="A552" s="126">
        <v>45063</v>
      </c>
      <c r="B552" s="127">
        <v>18181.75</v>
      </c>
      <c r="C552" s="56">
        <f t="shared" si="16"/>
        <v>-5.7282694884204233E-3</v>
      </c>
      <c r="D552" s="127">
        <v>3292.4765625</v>
      </c>
      <c r="E552" s="56">
        <f t="shared" si="17"/>
        <v>-8.7003808415044848E-3</v>
      </c>
    </row>
    <row r="553" spans="1:5" x14ac:dyDescent="0.3">
      <c r="A553" s="126">
        <v>45064</v>
      </c>
      <c r="B553" s="127">
        <v>18129.94921875</v>
      </c>
      <c r="C553" s="56">
        <f t="shared" si="16"/>
        <v>-2.8490536527011612E-3</v>
      </c>
      <c r="D553" s="127">
        <v>3236.38500976562</v>
      </c>
      <c r="E553" s="56">
        <f t="shared" si="17"/>
        <v>-1.7036280037112661E-2</v>
      </c>
    </row>
    <row r="554" spans="1:5" x14ac:dyDescent="0.3">
      <c r="A554" s="126">
        <v>45065</v>
      </c>
      <c r="B554" s="127">
        <v>18203.400390625</v>
      </c>
      <c r="C554" s="56">
        <f t="shared" si="16"/>
        <v>4.0513721791914925E-3</v>
      </c>
      <c r="D554" s="127">
        <v>3212.83935546875</v>
      </c>
      <c r="E554" s="56">
        <f t="shared" si="17"/>
        <v>-7.2752945727477814E-3</v>
      </c>
    </row>
    <row r="555" spans="1:5" x14ac:dyDescent="0.3">
      <c r="A555" s="126">
        <v>45068</v>
      </c>
      <c r="B555" s="127">
        <v>18314.400390625</v>
      </c>
      <c r="C555" s="56">
        <f t="shared" si="16"/>
        <v>6.097761825706316E-3</v>
      </c>
      <c r="D555" s="127">
        <v>3164.33666992187</v>
      </c>
      <c r="E555" s="56">
        <f t="shared" si="17"/>
        <v>-1.5096517497621198E-2</v>
      </c>
    </row>
    <row r="556" spans="1:5" x14ac:dyDescent="0.3">
      <c r="A556" s="126">
        <v>45069</v>
      </c>
      <c r="B556" s="127">
        <v>18348</v>
      </c>
      <c r="C556" s="56">
        <f t="shared" si="16"/>
        <v>1.834600568861644E-3</v>
      </c>
      <c r="D556" s="127">
        <v>3169.83374023437</v>
      </c>
      <c r="E556" s="56">
        <f t="shared" si="17"/>
        <v>1.7371951489080217E-3</v>
      </c>
    </row>
    <row r="557" spans="1:5" x14ac:dyDescent="0.3">
      <c r="A557" s="126">
        <v>45070</v>
      </c>
      <c r="B557" s="127">
        <v>18285.400390625</v>
      </c>
      <c r="C557" s="56">
        <f t="shared" si="16"/>
        <v>-3.4117947119577385E-3</v>
      </c>
      <c r="D557" s="127">
        <v>3220.623046875</v>
      </c>
      <c r="E557" s="56">
        <f t="shared" si="17"/>
        <v>1.6022703650341752E-2</v>
      </c>
    </row>
    <row r="558" spans="1:5" x14ac:dyDescent="0.3">
      <c r="A558" s="126">
        <v>45071</v>
      </c>
      <c r="B558" s="127">
        <v>18321.150390625</v>
      </c>
      <c r="C558" s="56">
        <f t="shared" si="16"/>
        <v>1.9551116867164708E-3</v>
      </c>
      <c r="D558" s="127">
        <v>3234.53588867187</v>
      </c>
      <c r="E558" s="56">
        <f t="shared" si="17"/>
        <v>4.3199224480399145E-3</v>
      </c>
    </row>
    <row r="559" spans="1:5" x14ac:dyDescent="0.3">
      <c r="A559" s="126">
        <v>45072</v>
      </c>
      <c r="B559" s="127">
        <v>18499.349609375</v>
      </c>
      <c r="C559" s="56">
        <f t="shared" si="16"/>
        <v>9.7264208278746711E-3</v>
      </c>
      <c r="D559" s="127">
        <v>3255.40625</v>
      </c>
      <c r="E559" s="56">
        <f t="shared" si="17"/>
        <v>6.4523511398415501E-3</v>
      </c>
    </row>
    <row r="560" spans="1:5" x14ac:dyDescent="0.3">
      <c r="A560" s="126">
        <v>45075</v>
      </c>
      <c r="B560" s="127">
        <v>18598.650390625</v>
      </c>
      <c r="C560" s="56">
        <f t="shared" si="16"/>
        <v>5.3677985089635172E-3</v>
      </c>
      <c r="D560" s="127">
        <v>3257.93627929687</v>
      </c>
      <c r="E560" s="56">
        <f t="shared" si="17"/>
        <v>7.7717774759133995E-4</v>
      </c>
    </row>
    <row r="561" spans="1:5" x14ac:dyDescent="0.3">
      <c r="A561" s="126">
        <v>45076</v>
      </c>
      <c r="B561" s="127">
        <v>18633.849609375</v>
      </c>
      <c r="C561" s="56">
        <f t="shared" si="16"/>
        <v>1.8925684396833287E-3</v>
      </c>
      <c r="D561" s="127">
        <v>3267.90893554687</v>
      </c>
      <c r="E561" s="56">
        <f t="shared" si="17"/>
        <v>3.0610347763315726E-3</v>
      </c>
    </row>
    <row r="562" spans="1:5" x14ac:dyDescent="0.3">
      <c r="A562" s="126">
        <v>45077</v>
      </c>
      <c r="B562" s="127">
        <v>18534.400390625</v>
      </c>
      <c r="C562" s="56">
        <f t="shared" si="16"/>
        <v>-5.3370195013254795E-3</v>
      </c>
      <c r="D562" s="127">
        <v>3268.78491210937</v>
      </c>
      <c r="E562" s="56">
        <f t="shared" si="17"/>
        <v>2.680541532145142E-4</v>
      </c>
    </row>
    <row r="563" spans="1:5" x14ac:dyDescent="0.3">
      <c r="A563" s="126">
        <v>45078</v>
      </c>
      <c r="B563" s="127">
        <v>18487.75</v>
      </c>
      <c r="C563" s="56">
        <f t="shared" si="16"/>
        <v>-2.5169624936233204E-3</v>
      </c>
      <c r="D563" s="127">
        <v>3288.97412109375</v>
      </c>
      <c r="E563" s="56">
        <f t="shared" si="17"/>
        <v>6.1763650797543868E-3</v>
      </c>
    </row>
    <row r="564" spans="1:5" x14ac:dyDescent="0.3">
      <c r="A564" s="126">
        <v>45079</v>
      </c>
      <c r="B564" s="127">
        <v>18534.099609375</v>
      </c>
      <c r="C564" s="56">
        <f t="shared" si="16"/>
        <v>2.507044360454902E-3</v>
      </c>
      <c r="D564" s="127">
        <v>3272.82250976562</v>
      </c>
      <c r="E564" s="56">
        <f t="shared" si="17"/>
        <v>-4.9108356385482166E-3</v>
      </c>
    </row>
    <row r="565" spans="1:5" x14ac:dyDescent="0.3">
      <c r="A565" s="126">
        <v>45082</v>
      </c>
      <c r="B565" s="127">
        <v>18593.849609375</v>
      </c>
      <c r="C565" s="56">
        <f t="shared" si="16"/>
        <v>3.223787573137793E-3</v>
      </c>
      <c r="D565" s="127">
        <v>3303.90893554687</v>
      </c>
      <c r="E565" s="56">
        <f t="shared" si="17"/>
        <v>9.4983536957755632E-3</v>
      </c>
    </row>
    <row r="566" spans="1:5" x14ac:dyDescent="0.3">
      <c r="A566" s="126">
        <v>45083</v>
      </c>
      <c r="B566" s="127">
        <v>18599</v>
      </c>
      <c r="C566" s="56">
        <f t="shared" si="16"/>
        <v>2.7699431442118616E-4</v>
      </c>
      <c r="D566" s="127">
        <v>3297.1953125</v>
      </c>
      <c r="E566" s="56">
        <f t="shared" si="17"/>
        <v>-2.0320242409340716E-3</v>
      </c>
    </row>
    <row r="567" spans="1:5" x14ac:dyDescent="0.3">
      <c r="A567" s="126">
        <v>45084</v>
      </c>
      <c r="B567" s="127">
        <v>18726.400390625</v>
      </c>
      <c r="C567" s="56">
        <f t="shared" si="16"/>
        <v>6.8498516385289143E-3</v>
      </c>
      <c r="D567" s="127">
        <v>3315.48754882812</v>
      </c>
      <c r="E567" s="56">
        <f t="shared" si="17"/>
        <v>5.5478170367317947E-3</v>
      </c>
    </row>
    <row r="568" spans="1:5" x14ac:dyDescent="0.3">
      <c r="A568" s="126">
        <v>45085</v>
      </c>
      <c r="B568" s="127">
        <v>18634.55078125</v>
      </c>
      <c r="C568" s="56">
        <f t="shared" si="16"/>
        <v>-4.9048192636628185E-3</v>
      </c>
      <c r="D568" s="127">
        <v>3349.00634765625</v>
      </c>
      <c r="E568" s="56">
        <f t="shared" si="17"/>
        <v>1.0109764652856956E-2</v>
      </c>
    </row>
    <row r="569" spans="1:5" x14ac:dyDescent="0.3">
      <c r="A569" s="126">
        <v>45086</v>
      </c>
      <c r="B569" s="127">
        <v>18563.400390625</v>
      </c>
      <c r="C569" s="56">
        <f t="shared" si="16"/>
        <v>-3.8181972541345699E-3</v>
      </c>
      <c r="D569" s="127">
        <v>3322.20068359375</v>
      </c>
      <c r="E569" s="56">
        <f t="shared" si="17"/>
        <v>-8.0040648717371043E-3</v>
      </c>
    </row>
    <row r="570" spans="1:5" x14ac:dyDescent="0.3">
      <c r="A570" s="126">
        <v>45089</v>
      </c>
      <c r="B570" s="127">
        <v>18601.5</v>
      </c>
      <c r="C570" s="56">
        <f t="shared" si="16"/>
        <v>2.0524046550352004E-3</v>
      </c>
      <c r="D570" s="127">
        <v>3257.01196289062</v>
      </c>
      <c r="E570" s="56">
        <f t="shared" si="17"/>
        <v>-1.9622150168427832E-2</v>
      </c>
    </row>
    <row r="571" spans="1:5" x14ac:dyDescent="0.3">
      <c r="A571" s="126">
        <v>45090</v>
      </c>
      <c r="B571" s="127">
        <v>18716.150390625</v>
      </c>
      <c r="C571" s="56">
        <f t="shared" si="16"/>
        <v>6.1635024393194016E-3</v>
      </c>
      <c r="D571" s="127">
        <v>3297.82788085937</v>
      </c>
      <c r="E571" s="56">
        <f t="shared" si="17"/>
        <v>1.2531706494723904E-2</v>
      </c>
    </row>
    <row r="572" spans="1:5" x14ac:dyDescent="0.3">
      <c r="A572" s="126">
        <v>45091</v>
      </c>
      <c r="B572" s="127">
        <v>18755.900390625</v>
      </c>
      <c r="C572" s="56">
        <f t="shared" si="16"/>
        <v>2.1238341844009856E-3</v>
      </c>
      <c r="D572" s="127">
        <v>3281.6767578125</v>
      </c>
      <c r="E572" s="56">
        <f t="shared" si="17"/>
        <v>-4.8975033356383202E-3</v>
      </c>
    </row>
    <row r="573" spans="1:5" x14ac:dyDescent="0.3">
      <c r="A573" s="126">
        <v>45092</v>
      </c>
      <c r="B573" s="127">
        <v>18688.099609375</v>
      </c>
      <c r="C573" s="56">
        <f t="shared" si="16"/>
        <v>-3.6149041015322014E-3</v>
      </c>
      <c r="D573" s="127">
        <v>3302.6435546875</v>
      </c>
      <c r="E573" s="56">
        <f t="shared" si="17"/>
        <v>6.3890499955809865E-3</v>
      </c>
    </row>
    <row r="574" spans="1:5" x14ac:dyDescent="0.3">
      <c r="A574" s="126">
        <v>45093</v>
      </c>
      <c r="B574" s="127">
        <v>18826</v>
      </c>
      <c r="C574" s="56">
        <f t="shared" si="16"/>
        <v>7.3790483520230765E-3</v>
      </c>
      <c r="D574" s="127">
        <v>3307.07080078125</v>
      </c>
      <c r="E574" s="56">
        <f t="shared" si="17"/>
        <v>1.3405158687096463E-3</v>
      </c>
    </row>
    <row r="575" spans="1:5" x14ac:dyDescent="0.3">
      <c r="A575" s="126">
        <v>45096</v>
      </c>
      <c r="B575" s="127">
        <v>18755.44921875</v>
      </c>
      <c r="C575" s="56">
        <f t="shared" si="16"/>
        <v>-3.7475183921172883E-3</v>
      </c>
      <c r="D575" s="127">
        <v>3310.62255859375</v>
      </c>
      <c r="E575" s="56">
        <f t="shared" si="17"/>
        <v>1.0739890454298795E-3</v>
      </c>
    </row>
    <row r="576" spans="1:5" x14ac:dyDescent="0.3">
      <c r="A576" s="126">
        <v>45097</v>
      </c>
      <c r="B576" s="127">
        <v>18816.69921875</v>
      </c>
      <c r="C576" s="56">
        <f t="shared" si="16"/>
        <v>3.265717567498605E-3</v>
      </c>
      <c r="D576" s="127">
        <v>3292.427734375</v>
      </c>
      <c r="E576" s="56">
        <f t="shared" si="17"/>
        <v>-5.4958920555651103E-3</v>
      </c>
    </row>
    <row r="577" spans="1:5" x14ac:dyDescent="0.3">
      <c r="A577" s="126">
        <v>45098</v>
      </c>
      <c r="B577" s="127">
        <v>18856.849609375</v>
      </c>
      <c r="C577" s="56">
        <f t="shared" si="16"/>
        <v>2.1337637466720683E-3</v>
      </c>
      <c r="D577" s="127">
        <v>3298.265625</v>
      </c>
      <c r="E577" s="56">
        <f t="shared" si="17"/>
        <v>1.7731264270584024E-3</v>
      </c>
    </row>
    <row r="578" spans="1:5" x14ac:dyDescent="0.3">
      <c r="A578" s="126">
        <v>45099</v>
      </c>
      <c r="B578" s="127">
        <v>18771.25</v>
      </c>
      <c r="C578" s="56">
        <f t="shared" si="16"/>
        <v>-4.5394438174043428E-3</v>
      </c>
      <c r="D578" s="127">
        <v>3258.86059570312</v>
      </c>
      <c r="E578" s="56">
        <f t="shared" si="17"/>
        <v>-1.1947197035375168E-2</v>
      </c>
    </row>
    <row r="579" spans="1:5" x14ac:dyDescent="0.3">
      <c r="A579" s="126">
        <v>45100</v>
      </c>
      <c r="B579" s="127">
        <v>18665.5</v>
      </c>
      <c r="C579" s="56">
        <f t="shared" si="16"/>
        <v>-5.6336152360657588E-3</v>
      </c>
      <c r="D579" s="127">
        <v>3259.3955078125</v>
      </c>
      <c r="E579" s="56">
        <f t="shared" si="17"/>
        <v>1.6414083808480306E-4</v>
      </c>
    </row>
    <row r="580" spans="1:5" x14ac:dyDescent="0.3">
      <c r="A580" s="126">
        <v>45103</v>
      </c>
      <c r="B580" s="127">
        <v>18691.19921875</v>
      </c>
      <c r="C580" s="56">
        <f t="shared" si="16"/>
        <v>1.3768299134766515E-3</v>
      </c>
      <c r="D580" s="127">
        <v>3309.5517578125</v>
      </c>
      <c r="E580" s="56">
        <f t="shared" si="17"/>
        <v>1.5388206150428685E-2</v>
      </c>
    </row>
    <row r="581" spans="1:5" x14ac:dyDescent="0.3">
      <c r="A581" s="126">
        <v>45104</v>
      </c>
      <c r="B581" s="127">
        <v>18817.400390625</v>
      </c>
      <c r="C581" s="56">
        <f t="shared" si="16"/>
        <v>6.7519034171119596E-3</v>
      </c>
      <c r="D581" s="127">
        <v>3303.66577148437</v>
      </c>
      <c r="E581" s="56">
        <f t="shared" si="17"/>
        <v>-1.7784844470963845E-3</v>
      </c>
    </row>
    <row r="582" spans="1:5" x14ac:dyDescent="0.3">
      <c r="A582" s="126">
        <v>45105</v>
      </c>
      <c r="B582" s="127">
        <v>18972.099609375</v>
      </c>
      <c r="C582" s="56">
        <f t="shared" si="16"/>
        <v>8.22107281232487E-3</v>
      </c>
      <c r="D582" s="127">
        <v>3352.99487304687</v>
      </c>
      <c r="E582" s="56">
        <f t="shared" si="17"/>
        <v>1.4931625949660132E-2</v>
      </c>
    </row>
    <row r="583" spans="1:5" x14ac:dyDescent="0.3">
      <c r="A583" s="126">
        <v>45107</v>
      </c>
      <c r="B583" s="127">
        <v>19189.05078125</v>
      </c>
      <c r="C583" s="56">
        <f t="shared" ref="C583:C646" si="18">B583/B582-1</f>
        <v>1.143527476356887E-2</v>
      </c>
      <c r="D583" s="127">
        <v>3417.89233398437</v>
      </c>
      <c r="E583" s="56">
        <f t="shared" ref="E583:E646" si="19">D583/D582-1</f>
        <v>1.9355073119610156E-2</v>
      </c>
    </row>
    <row r="584" spans="1:5" x14ac:dyDescent="0.3">
      <c r="A584" s="126">
        <v>45110</v>
      </c>
      <c r="B584" s="127">
        <v>19322.55078125</v>
      </c>
      <c r="C584" s="56">
        <f t="shared" si="18"/>
        <v>6.9570924336936901E-3</v>
      </c>
      <c r="D584" s="127">
        <v>3399.4541015625</v>
      </c>
      <c r="E584" s="56">
        <f t="shared" si="19"/>
        <v>-5.394620608302092E-3</v>
      </c>
    </row>
    <row r="585" spans="1:5" x14ac:dyDescent="0.3">
      <c r="A585" s="126">
        <v>45111</v>
      </c>
      <c r="B585" s="127">
        <v>19389</v>
      </c>
      <c r="C585" s="56">
        <f t="shared" si="18"/>
        <v>3.4389465191355661E-3</v>
      </c>
      <c r="D585" s="127">
        <v>3400.32983398437</v>
      </c>
      <c r="E585" s="56">
        <f t="shared" si="19"/>
        <v>2.5760972076893651E-4</v>
      </c>
    </row>
    <row r="586" spans="1:5" x14ac:dyDescent="0.3">
      <c r="A586" s="126">
        <v>45112</v>
      </c>
      <c r="B586" s="127">
        <v>19398.5</v>
      </c>
      <c r="C586" s="56">
        <f t="shared" si="18"/>
        <v>4.8996853886218439E-4</v>
      </c>
      <c r="D586" s="127">
        <v>3417.30834960937</v>
      </c>
      <c r="E586" s="56">
        <f t="shared" si="19"/>
        <v>4.9931966761898039E-3</v>
      </c>
    </row>
    <row r="587" spans="1:5" x14ac:dyDescent="0.3">
      <c r="A587" s="126">
        <v>45113</v>
      </c>
      <c r="B587" s="127">
        <v>19497.30078125</v>
      </c>
      <c r="C587" s="56">
        <f t="shared" si="18"/>
        <v>5.0932175812563596E-3</v>
      </c>
      <c r="D587" s="127">
        <v>3428.01123046875</v>
      </c>
      <c r="E587" s="56">
        <f t="shared" si="19"/>
        <v>3.1319622827139515E-3</v>
      </c>
    </row>
    <row r="588" spans="1:5" x14ac:dyDescent="0.3">
      <c r="A588" s="126">
        <v>45114</v>
      </c>
      <c r="B588" s="127">
        <v>19331.80078125</v>
      </c>
      <c r="C588" s="56">
        <f t="shared" si="18"/>
        <v>-8.48835445771845E-3</v>
      </c>
      <c r="D588" s="127">
        <v>3396.38989257812</v>
      </c>
      <c r="E588" s="56">
        <f t="shared" si="19"/>
        <v>-9.224397402661344E-3</v>
      </c>
    </row>
    <row r="589" spans="1:5" x14ac:dyDescent="0.3">
      <c r="A589" s="126">
        <v>45117</v>
      </c>
      <c r="B589" s="127">
        <v>19355.900390625</v>
      </c>
      <c r="C589" s="56">
        <f t="shared" si="18"/>
        <v>1.2466303397029588E-3</v>
      </c>
      <c r="D589" s="127">
        <v>3393.37329101562</v>
      </c>
      <c r="E589" s="56">
        <f t="shared" si="19"/>
        <v>-8.8817881866032344E-4</v>
      </c>
    </row>
    <row r="590" spans="1:5" x14ac:dyDescent="0.3">
      <c r="A590" s="126">
        <v>45118</v>
      </c>
      <c r="B590" s="127">
        <v>19439.400390625</v>
      </c>
      <c r="C590" s="56">
        <f t="shared" si="18"/>
        <v>4.3139300324381846E-3</v>
      </c>
      <c r="D590" s="127">
        <v>3419.06005859375</v>
      </c>
      <c r="E590" s="56">
        <f t="shared" si="19"/>
        <v>7.5696851997211212E-3</v>
      </c>
    </row>
    <row r="591" spans="1:5" x14ac:dyDescent="0.3">
      <c r="A591" s="126">
        <v>45119</v>
      </c>
      <c r="B591" s="127">
        <v>19384.30078125</v>
      </c>
      <c r="C591" s="56">
        <f t="shared" si="18"/>
        <v>-2.834429471475497E-3</v>
      </c>
      <c r="D591" s="127">
        <v>3433.60546875</v>
      </c>
      <c r="E591" s="56">
        <f t="shared" si="19"/>
        <v>4.2542131190970167E-3</v>
      </c>
    </row>
    <row r="592" spans="1:5" x14ac:dyDescent="0.3">
      <c r="A592" s="126">
        <v>45120</v>
      </c>
      <c r="B592" s="127">
        <v>19413.75</v>
      </c>
      <c r="C592" s="56">
        <f t="shared" si="18"/>
        <v>1.5192303855748879E-3</v>
      </c>
      <c r="D592" s="127">
        <v>3416.23803710937</v>
      </c>
      <c r="E592" s="56">
        <f t="shared" si="19"/>
        <v>-5.0580743182916388E-3</v>
      </c>
    </row>
    <row r="593" spans="1:5" x14ac:dyDescent="0.3">
      <c r="A593" s="126">
        <v>45121</v>
      </c>
      <c r="B593" s="127">
        <v>19564.5</v>
      </c>
      <c r="C593" s="56">
        <f t="shared" si="18"/>
        <v>7.7651149314275081E-3</v>
      </c>
      <c r="D593" s="127">
        <v>3424.21655273437</v>
      </c>
      <c r="E593" s="56">
        <f t="shared" si="19"/>
        <v>2.3354682953389272E-3</v>
      </c>
    </row>
    <row r="594" spans="1:5" x14ac:dyDescent="0.3">
      <c r="A594" s="126">
        <v>45124</v>
      </c>
      <c r="B594" s="127">
        <v>19711.44921875</v>
      </c>
      <c r="C594" s="56">
        <f t="shared" si="18"/>
        <v>7.5110132510414207E-3</v>
      </c>
      <c r="D594" s="127">
        <v>3530.51342773437</v>
      </c>
      <c r="E594" s="56">
        <f t="shared" si="19"/>
        <v>3.1042684761020123E-2</v>
      </c>
    </row>
    <row r="595" spans="1:5" x14ac:dyDescent="0.3">
      <c r="A595" s="126">
        <v>45125</v>
      </c>
      <c r="B595" s="127">
        <v>19749.25</v>
      </c>
      <c r="C595" s="56">
        <f t="shared" si="18"/>
        <v>1.917706853032497E-3</v>
      </c>
      <c r="D595" s="127">
        <v>3567.53466796875</v>
      </c>
      <c r="E595" s="56">
        <f t="shared" si="19"/>
        <v>1.0486078297721635E-2</v>
      </c>
    </row>
    <row r="596" spans="1:5" x14ac:dyDescent="0.3">
      <c r="A596" s="126">
        <v>45126</v>
      </c>
      <c r="B596" s="127">
        <v>19833.150390625</v>
      </c>
      <c r="C596" s="56">
        <f t="shared" si="18"/>
        <v>4.248282371482448E-3</v>
      </c>
      <c r="D596" s="127">
        <v>3541.07006835937</v>
      </c>
      <c r="E596" s="56">
        <f t="shared" si="19"/>
        <v>-7.4181758756245442E-3</v>
      </c>
    </row>
    <row r="597" spans="1:5" x14ac:dyDescent="0.3">
      <c r="A597" s="126">
        <v>45127</v>
      </c>
      <c r="B597" s="127">
        <v>19979.150390625</v>
      </c>
      <c r="C597" s="56">
        <f t="shared" si="18"/>
        <v>7.3614124394989489E-3</v>
      </c>
      <c r="D597" s="127">
        <v>3590.35107421875</v>
      </c>
      <c r="E597" s="56">
        <f t="shared" si="19"/>
        <v>1.3916981281935747E-2</v>
      </c>
    </row>
    <row r="598" spans="1:5" x14ac:dyDescent="0.3">
      <c r="A598" s="126">
        <v>45128</v>
      </c>
      <c r="B598" s="127">
        <v>19745</v>
      </c>
      <c r="C598" s="56">
        <f t="shared" si="18"/>
        <v>-1.1719737128305097E-2</v>
      </c>
      <c r="D598" s="127">
        <v>3600.90771484375</v>
      </c>
      <c r="E598" s="56">
        <f t="shared" si="19"/>
        <v>2.940280882503199E-3</v>
      </c>
    </row>
    <row r="599" spans="1:5" x14ac:dyDescent="0.3">
      <c r="A599" s="126">
        <v>45131</v>
      </c>
      <c r="B599" s="127">
        <v>19672.349609375</v>
      </c>
      <c r="C599" s="56">
        <f t="shared" si="18"/>
        <v>-3.6794322929856182E-3</v>
      </c>
      <c r="D599" s="127">
        <v>3679.57153320312</v>
      </c>
      <c r="E599" s="56">
        <f t="shared" si="19"/>
        <v>2.1845552451983163E-2</v>
      </c>
    </row>
    <row r="600" spans="1:5" x14ac:dyDescent="0.3">
      <c r="A600" s="126">
        <v>45132</v>
      </c>
      <c r="B600" s="127">
        <v>19680.599609375</v>
      </c>
      <c r="C600" s="56">
        <f t="shared" si="18"/>
        <v>4.1937034283234809E-4</v>
      </c>
      <c r="D600" s="127">
        <v>3843.85766601562</v>
      </c>
      <c r="E600" s="56">
        <f t="shared" si="19"/>
        <v>4.4648169312660801E-2</v>
      </c>
    </row>
    <row r="601" spans="1:5" x14ac:dyDescent="0.3">
      <c r="A601" s="126">
        <v>45133</v>
      </c>
      <c r="B601" s="127">
        <v>19778.30078125</v>
      </c>
      <c r="C601" s="56">
        <f t="shared" si="18"/>
        <v>4.9643391875346943E-3</v>
      </c>
      <c r="D601" s="127">
        <v>3896.64111328125</v>
      </c>
      <c r="E601" s="56">
        <f t="shared" si="19"/>
        <v>1.3731894323845584E-2</v>
      </c>
    </row>
    <row r="602" spans="1:5" x14ac:dyDescent="0.3">
      <c r="A602" s="126">
        <v>45134</v>
      </c>
      <c r="B602" s="127">
        <v>19659.900390625</v>
      </c>
      <c r="C602" s="56">
        <f t="shared" si="18"/>
        <v>-5.9863783008722304E-3</v>
      </c>
      <c r="D602" s="127">
        <v>3919.45727539062</v>
      </c>
      <c r="E602" s="56">
        <f t="shared" si="19"/>
        <v>5.8553409067116924E-3</v>
      </c>
    </row>
    <row r="603" spans="1:5" x14ac:dyDescent="0.3">
      <c r="A603" s="126">
        <v>45135</v>
      </c>
      <c r="B603" s="127">
        <v>19646.05078125</v>
      </c>
      <c r="C603" s="56">
        <f t="shared" si="18"/>
        <v>-7.0445979378430668E-4</v>
      </c>
      <c r="D603" s="127">
        <v>3887.68994140625</v>
      </c>
      <c r="E603" s="56">
        <f t="shared" si="19"/>
        <v>-8.1050338739064864E-3</v>
      </c>
    </row>
    <row r="604" spans="1:5" x14ac:dyDescent="0.3">
      <c r="A604" s="126">
        <v>45138</v>
      </c>
      <c r="B604" s="127">
        <v>19753.80078125</v>
      </c>
      <c r="C604" s="56">
        <f t="shared" si="18"/>
        <v>5.4845628365591814E-3</v>
      </c>
      <c r="D604" s="127">
        <v>3871.19799804687</v>
      </c>
      <c r="E604" s="56">
        <f t="shared" si="19"/>
        <v>-4.242093275940273E-3</v>
      </c>
    </row>
    <row r="605" spans="1:5" x14ac:dyDescent="0.3">
      <c r="A605" s="126">
        <v>45139</v>
      </c>
      <c r="B605" s="127">
        <v>19733.55078125</v>
      </c>
      <c r="C605" s="56">
        <f t="shared" si="18"/>
        <v>-1.0251191770254131E-3</v>
      </c>
      <c r="D605" s="127">
        <v>3878.73828125</v>
      </c>
      <c r="E605" s="56">
        <f t="shared" si="19"/>
        <v>1.9477906340450435E-3</v>
      </c>
    </row>
    <row r="606" spans="1:5" x14ac:dyDescent="0.3">
      <c r="A606" s="126">
        <v>45140</v>
      </c>
      <c r="B606" s="127">
        <v>19526.55078125</v>
      </c>
      <c r="C606" s="56">
        <f t="shared" si="18"/>
        <v>-1.0489749274959825E-2</v>
      </c>
      <c r="D606" s="127">
        <v>3829.1171875</v>
      </c>
      <c r="E606" s="56">
        <f t="shared" si="19"/>
        <v>-1.2793101816090724E-2</v>
      </c>
    </row>
    <row r="607" spans="1:5" x14ac:dyDescent="0.3">
      <c r="A607" s="126">
        <v>45141</v>
      </c>
      <c r="B607" s="127">
        <v>19381.650390625</v>
      </c>
      <c r="C607" s="56">
        <f t="shared" si="18"/>
        <v>-7.4206854169113212E-3</v>
      </c>
      <c r="D607" s="127">
        <v>3914.64086914062</v>
      </c>
      <c r="E607" s="56">
        <f t="shared" si="19"/>
        <v>2.233509121105226E-2</v>
      </c>
    </row>
    <row r="608" spans="1:5" x14ac:dyDescent="0.3">
      <c r="A608" s="126">
        <v>45142</v>
      </c>
      <c r="B608" s="127">
        <v>19517</v>
      </c>
      <c r="C608" s="56">
        <f t="shared" si="18"/>
        <v>6.9833892701145484E-3</v>
      </c>
      <c r="D608" s="127">
        <v>3988.19750976562</v>
      </c>
      <c r="E608" s="56">
        <f t="shared" si="19"/>
        <v>1.8790137610030122E-2</v>
      </c>
    </row>
    <row r="609" spans="1:5" x14ac:dyDescent="0.3">
      <c r="A609" s="126">
        <v>45145</v>
      </c>
      <c r="B609" s="127">
        <v>19597.30078125</v>
      </c>
      <c r="C609" s="56">
        <f t="shared" si="18"/>
        <v>4.1144018676027017E-3</v>
      </c>
      <c r="D609" s="127">
        <v>4020.15966796875</v>
      </c>
      <c r="E609" s="56">
        <f t="shared" si="19"/>
        <v>8.0141863899334531E-3</v>
      </c>
    </row>
    <row r="610" spans="1:5" x14ac:dyDescent="0.3">
      <c r="A610" s="126">
        <v>45146</v>
      </c>
      <c r="B610" s="127">
        <v>19570.849609375</v>
      </c>
      <c r="C610" s="56">
        <f t="shared" si="18"/>
        <v>-1.3497354646058168E-3</v>
      </c>
      <c r="D610" s="127">
        <v>4020.15966796875</v>
      </c>
      <c r="E610" s="56">
        <f t="shared" si="19"/>
        <v>0</v>
      </c>
    </row>
    <row r="611" spans="1:5" x14ac:dyDescent="0.3">
      <c r="A611" s="126">
        <v>45147</v>
      </c>
      <c r="B611" s="127">
        <v>19632.55078125</v>
      </c>
      <c r="C611" s="56">
        <f t="shared" si="18"/>
        <v>3.1527078847637391E-3</v>
      </c>
      <c r="D611" s="127">
        <v>4112.97998046875</v>
      </c>
      <c r="E611" s="56">
        <f t="shared" si="19"/>
        <v>2.3088712928384547E-2</v>
      </c>
    </row>
    <row r="612" spans="1:5" x14ac:dyDescent="0.3">
      <c r="A612" s="126">
        <v>45148</v>
      </c>
      <c r="B612" s="127">
        <v>19543.099609375</v>
      </c>
      <c r="C612" s="56">
        <f t="shared" si="18"/>
        <v>-4.5562684580157109E-3</v>
      </c>
      <c r="D612" s="127">
        <v>4039.00610351562</v>
      </c>
      <c r="E612" s="56">
        <f t="shared" si="19"/>
        <v>-1.7985469733480031E-2</v>
      </c>
    </row>
    <row r="613" spans="1:5" x14ac:dyDescent="0.3">
      <c r="A613" s="126">
        <v>45149</v>
      </c>
      <c r="B613" s="127">
        <v>19428.30078125</v>
      </c>
      <c r="C613" s="56">
        <f t="shared" si="18"/>
        <v>-5.8741361615907151E-3</v>
      </c>
      <c r="D613" s="127">
        <v>3727.6005859375</v>
      </c>
      <c r="E613" s="56">
        <f t="shared" si="19"/>
        <v>-7.7099541223041856E-2</v>
      </c>
    </row>
    <row r="614" spans="1:5" x14ac:dyDescent="0.3">
      <c r="A614" s="126">
        <v>45152</v>
      </c>
      <c r="B614" s="127">
        <v>19434.55078125</v>
      </c>
      <c r="C614" s="56">
        <f t="shared" si="18"/>
        <v>3.2169565781225984E-4</v>
      </c>
      <c r="D614" s="127">
        <v>3701.609375</v>
      </c>
      <c r="E614" s="56">
        <f t="shared" si="19"/>
        <v>-6.9726383871578923E-3</v>
      </c>
    </row>
    <row r="615" spans="1:5" x14ac:dyDescent="0.3">
      <c r="A615" s="126">
        <v>45154</v>
      </c>
      <c r="B615" s="127">
        <v>19465</v>
      </c>
      <c r="C615" s="56">
        <f t="shared" si="18"/>
        <v>1.5667570139761278E-3</v>
      </c>
      <c r="D615" s="127">
        <v>3700.8779296875</v>
      </c>
      <c r="E615" s="56">
        <f t="shared" si="19"/>
        <v>-1.9760197211515784E-4</v>
      </c>
    </row>
    <row r="616" spans="1:5" x14ac:dyDescent="0.3">
      <c r="A616" s="126">
        <v>45155</v>
      </c>
      <c r="B616" s="127">
        <v>19365.25</v>
      </c>
      <c r="C616" s="56">
        <f t="shared" si="18"/>
        <v>-5.1245825841254034E-3</v>
      </c>
      <c r="D616" s="127">
        <v>3695.95288085937</v>
      </c>
      <c r="E616" s="56">
        <f t="shared" si="19"/>
        <v>-1.3307785130177718E-3</v>
      </c>
    </row>
    <row r="617" spans="1:5" x14ac:dyDescent="0.3">
      <c r="A617" s="126">
        <v>45156</v>
      </c>
      <c r="B617" s="127">
        <v>19310.150390625</v>
      </c>
      <c r="C617" s="56">
        <f t="shared" si="18"/>
        <v>-2.8452826260957353E-3</v>
      </c>
      <c r="D617" s="127">
        <v>3707.31469726562</v>
      </c>
      <c r="E617" s="56">
        <f t="shared" si="19"/>
        <v>3.0741237165361479E-3</v>
      </c>
    </row>
    <row r="618" spans="1:5" x14ac:dyDescent="0.3">
      <c r="A618" s="126">
        <v>45159</v>
      </c>
      <c r="B618" s="127">
        <v>19393.599609375</v>
      </c>
      <c r="C618" s="56">
        <f t="shared" si="18"/>
        <v>4.3215209131937105E-3</v>
      </c>
      <c r="D618" s="127">
        <v>3728.57592773437</v>
      </c>
      <c r="E618" s="56">
        <f t="shared" si="19"/>
        <v>5.7349408412594727E-3</v>
      </c>
    </row>
    <row r="619" spans="1:5" x14ac:dyDescent="0.3">
      <c r="A619" s="126">
        <v>45160</v>
      </c>
      <c r="B619" s="127">
        <v>19396.44921875</v>
      </c>
      <c r="C619" s="56">
        <f t="shared" si="18"/>
        <v>1.4693555773015454E-4</v>
      </c>
      <c r="D619" s="127">
        <v>3674.59448242187</v>
      </c>
      <c r="E619" s="56">
        <f t="shared" si="19"/>
        <v>-1.4477764797806159E-2</v>
      </c>
    </row>
    <row r="620" spans="1:5" x14ac:dyDescent="0.3">
      <c r="A620" s="126">
        <v>45161</v>
      </c>
      <c r="B620" s="127">
        <v>19444</v>
      </c>
      <c r="C620" s="56">
        <f t="shared" si="18"/>
        <v>2.4515199000461063E-3</v>
      </c>
      <c r="D620" s="127">
        <v>3667.23071289062</v>
      </c>
      <c r="E620" s="56">
        <f t="shared" si="19"/>
        <v>-2.0039679389047826E-3</v>
      </c>
    </row>
    <row r="621" spans="1:5" x14ac:dyDescent="0.3">
      <c r="A621" s="126">
        <v>45162</v>
      </c>
      <c r="B621" s="127">
        <v>19386.69921875</v>
      </c>
      <c r="C621" s="56">
        <f t="shared" si="18"/>
        <v>-2.9469646806212779E-3</v>
      </c>
      <c r="D621" s="127">
        <v>3623.197265625</v>
      </c>
      <c r="E621" s="56">
        <f t="shared" si="19"/>
        <v>-1.2007274892970043E-2</v>
      </c>
    </row>
    <row r="622" spans="1:5" x14ac:dyDescent="0.3">
      <c r="A622" s="126">
        <v>45163</v>
      </c>
      <c r="B622" s="127">
        <v>19265.80078125</v>
      </c>
      <c r="C622" s="56">
        <f t="shared" si="18"/>
        <v>-6.2361537740819317E-3</v>
      </c>
      <c r="D622" s="127">
        <v>3586.81958007812</v>
      </c>
      <c r="E622" s="56">
        <f t="shared" si="19"/>
        <v>-1.0040216659471635E-2</v>
      </c>
    </row>
    <row r="623" spans="1:5" x14ac:dyDescent="0.3">
      <c r="A623" s="126">
        <v>45166</v>
      </c>
      <c r="B623" s="127">
        <v>19306.05078125</v>
      </c>
      <c r="C623" s="56">
        <f t="shared" si="18"/>
        <v>2.089194238900971E-3</v>
      </c>
      <c r="D623" s="127">
        <v>3620.61254882812</v>
      </c>
      <c r="E623" s="56">
        <f t="shared" si="19"/>
        <v>9.4214297640429212E-3</v>
      </c>
    </row>
    <row r="624" spans="1:5" x14ac:dyDescent="0.3">
      <c r="A624" s="126">
        <v>45167</v>
      </c>
      <c r="B624" s="127">
        <v>19342.650390625</v>
      </c>
      <c r="C624" s="56">
        <f t="shared" si="18"/>
        <v>1.8957584743610756E-3</v>
      </c>
      <c r="D624" s="127">
        <v>3610.6650390625</v>
      </c>
      <c r="E624" s="56">
        <f t="shared" si="19"/>
        <v>-2.7474659692154901E-3</v>
      </c>
    </row>
    <row r="625" spans="1:5" x14ac:dyDescent="0.3">
      <c r="A625" s="126">
        <v>45168</v>
      </c>
      <c r="B625" s="127">
        <v>19347.44921875</v>
      </c>
      <c r="C625" s="56">
        <f t="shared" si="18"/>
        <v>2.4809568637640389E-4</v>
      </c>
      <c r="D625" s="127">
        <v>3602.52172851562</v>
      </c>
      <c r="E625" s="56">
        <f t="shared" si="19"/>
        <v>-2.2553492109570472E-3</v>
      </c>
    </row>
    <row r="626" spans="1:5" x14ac:dyDescent="0.3">
      <c r="A626" s="126">
        <v>45169</v>
      </c>
      <c r="B626" s="127">
        <v>19253.80078125</v>
      </c>
      <c r="C626" s="56">
        <f t="shared" si="18"/>
        <v>-4.8403506033882771E-3</v>
      </c>
      <c r="D626" s="127">
        <v>3552.78247070312</v>
      </c>
      <c r="E626" s="56">
        <f t="shared" si="19"/>
        <v>-1.3806789121850627E-2</v>
      </c>
    </row>
    <row r="627" spans="1:5" x14ac:dyDescent="0.3">
      <c r="A627" s="126">
        <v>45170</v>
      </c>
      <c r="B627" s="127">
        <v>19435.30078125</v>
      </c>
      <c r="C627" s="56">
        <f t="shared" si="18"/>
        <v>9.4267101889176086E-3</v>
      </c>
      <c r="D627" s="127">
        <v>3525.37719726562</v>
      </c>
      <c r="E627" s="56">
        <f t="shared" si="19"/>
        <v>-7.7137493397044787E-3</v>
      </c>
    </row>
    <row r="628" spans="1:5" x14ac:dyDescent="0.3">
      <c r="A628" s="126">
        <v>45173</v>
      </c>
      <c r="B628" s="127">
        <v>19528.80078125</v>
      </c>
      <c r="C628" s="56">
        <f t="shared" si="18"/>
        <v>4.8108337016425917E-3</v>
      </c>
      <c r="D628" s="127">
        <v>3560.38940429687</v>
      </c>
      <c r="E628" s="56">
        <f t="shared" si="19"/>
        <v>9.9314782708659344E-3</v>
      </c>
    </row>
    <row r="629" spans="1:5" x14ac:dyDescent="0.3">
      <c r="A629" s="126">
        <v>45174</v>
      </c>
      <c r="B629" s="127">
        <v>19574.900390625</v>
      </c>
      <c r="C629" s="56">
        <f t="shared" si="18"/>
        <v>2.3605960187407238E-3</v>
      </c>
      <c r="D629" s="127">
        <v>3555.9521484375</v>
      </c>
      <c r="E629" s="56">
        <f t="shared" si="19"/>
        <v>-1.2462838626625672E-3</v>
      </c>
    </row>
    <row r="630" spans="1:5" x14ac:dyDescent="0.3">
      <c r="A630" s="126">
        <v>45175</v>
      </c>
      <c r="B630" s="127">
        <v>19611.05078125</v>
      </c>
      <c r="C630" s="56">
        <f t="shared" si="18"/>
        <v>1.8467726478093027E-3</v>
      </c>
      <c r="D630" s="127">
        <v>3564.72973632812</v>
      </c>
      <c r="E630" s="56">
        <f t="shared" si="19"/>
        <v>2.4684212622143598E-3</v>
      </c>
    </row>
    <row r="631" spans="1:5" x14ac:dyDescent="0.3">
      <c r="A631" s="126">
        <v>45176</v>
      </c>
      <c r="B631" s="127">
        <v>19727.05078125</v>
      </c>
      <c r="C631" s="56">
        <f t="shared" si="18"/>
        <v>5.9150323607803923E-3</v>
      </c>
      <c r="D631" s="127">
        <v>3547.1748046875</v>
      </c>
      <c r="E631" s="56">
        <f t="shared" si="19"/>
        <v>-4.9246178361623816E-3</v>
      </c>
    </row>
    <row r="632" spans="1:5" x14ac:dyDescent="0.3">
      <c r="A632" s="126">
        <v>45177</v>
      </c>
      <c r="B632" s="127">
        <v>19819.94921875</v>
      </c>
      <c r="C632" s="56">
        <f t="shared" si="18"/>
        <v>4.7091903665750223E-3</v>
      </c>
      <c r="D632" s="127">
        <v>3531.71655273437</v>
      </c>
      <c r="E632" s="56">
        <f t="shared" si="19"/>
        <v>-4.3579053202290607E-3</v>
      </c>
    </row>
    <row r="633" spans="1:5" x14ac:dyDescent="0.3">
      <c r="A633" s="126">
        <v>45180</v>
      </c>
      <c r="B633" s="127">
        <v>19996.349609375</v>
      </c>
      <c r="C633" s="56">
        <f t="shared" si="18"/>
        <v>8.9001434200508545E-3</v>
      </c>
      <c r="D633" s="127">
        <v>3540.25</v>
      </c>
      <c r="E633" s="56">
        <f t="shared" si="19"/>
        <v>2.4162322027296845E-3</v>
      </c>
    </row>
    <row r="634" spans="1:5" x14ac:dyDescent="0.3">
      <c r="A634" s="126">
        <v>45181</v>
      </c>
      <c r="B634" s="127">
        <v>19993.19921875</v>
      </c>
      <c r="C634" s="56">
        <f t="shared" si="18"/>
        <v>-1.575482868895195E-4</v>
      </c>
      <c r="D634" s="127">
        <v>3545.46801757812</v>
      </c>
      <c r="E634" s="56">
        <f t="shared" si="19"/>
        <v>1.4739121751627948E-3</v>
      </c>
    </row>
    <row r="635" spans="1:5" x14ac:dyDescent="0.3">
      <c r="A635" s="126">
        <v>45182</v>
      </c>
      <c r="B635" s="127">
        <v>20070</v>
      </c>
      <c r="C635" s="56">
        <f t="shared" si="18"/>
        <v>3.8413452699443962E-3</v>
      </c>
      <c r="D635" s="127">
        <v>3652.1630859375</v>
      </c>
      <c r="E635" s="56">
        <f t="shared" si="19"/>
        <v>3.009336646964389E-2</v>
      </c>
    </row>
    <row r="636" spans="1:5" x14ac:dyDescent="0.3">
      <c r="A636" s="126">
        <v>45183</v>
      </c>
      <c r="B636" s="127">
        <v>20103.099609375</v>
      </c>
      <c r="C636" s="56">
        <f t="shared" si="18"/>
        <v>1.6492082399102159E-3</v>
      </c>
      <c r="D636" s="127">
        <v>3617.73559570312</v>
      </c>
      <c r="E636" s="56">
        <f t="shared" si="19"/>
        <v>-9.4266026528063707E-3</v>
      </c>
    </row>
    <row r="637" spans="1:5" x14ac:dyDescent="0.3">
      <c r="A637" s="126">
        <v>45184</v>
      </c>
      <c r="B637" s="127">
        <v>20192.349609375</v>
      </c>
      <c r="C637" s="56">
        <f t="shared" si="18"/>
        <v>4.4396138771742866E-3</v>
      </c>
      <c r="D637" s="127">
        <v>3585.06396484375</v>
      </c>
      <c r="E637" s="56">
        <f t="shared" si="19"/>
        <v>-9.0309614937518212E-3</v>
      </c>
    </row>
    <row r="638" spans="1:5" x14ac:dyDescent="0.3">
      <c r="A638" s="126">
        <v>45187</v>
      </c>
      <c r="B638" s="127">
        <v>20133.30078125</v>
      </c>
      <c r="C638" s="56">
        <f t="shared" si="18"/>
        <v>-2.9243168460981739E-3</v>
      </c>
      <c r="D638" s="127">
        <v>3569.41088867187</v>
      </c>
      <c r="E638" s="56">
        <f t="shared" si="19"/>
        <v>-4.3661916008692625E-3</v>
      </c>
    </row>
    <row r="639" spans="1:5" x14ac:dyDescent="0.3">
      <c r="A639" s="126">
        <v>45189</v>
      </c>
      <c r="B639" s="127">
        <v>19901.400390625</v>
      </c>
      <c r="C639" s="56">
        <f t="shared" si="18"/>
        <v>-1.1518249945432046E-2</v>
      </c>
      <c r="D639" s="127">
        <v>3594.13427734375</v>
      </c>
      <c r="E639" s="56">
        <f t="shared" si="19"/>
        <v>6.9264619409168393E-3</v>
      </c>
    </row>
    <row r="640" spans="1:5" x14ac:dyDescent="0.3">
      <c r="A640" s="126">
        <v>45190</v>
      </c>
      <c r="B640" s="127">
        <v>19742.349609375</v>
      </c>
      <c r="C640" s="56">
        <f t="shared" si="18"/>
        <v>-7.9919391664983186E-3</v>
      </c>
      <c r="D640" s="127">
        <v>3561.55981445312</v>
      </c>
      <c r="E640" s="56">
        <f t="shared" si="19"/>
        <v>-9.0632292443743045E-3</v>
      </c>
    </row>
    <row r="641" spans="1:5" x14ac:dyDescent="0.3">
      <c r="A641" s="126">
        <v>45191</v>
      </c>
      <c r="B641" s="127">
        <v>19674.25</v>
      </c>
      <c r="C641" s="56">
        <f t="shared" si="18"/>
        <v>-3.449417659114995E-3</v>
      </c>
      <c r="D641" s="127">
        <v>3462.86206054687</v>
      </c>
      <c r="E641" s="56">
        <f t="shared" si="19"/>
        <v>-2.7711946183165526E-2</v>
      </c>
    </row>
    <row r="642" spans="1:5" x14ac:dyDescent="0.3">
      <c r="A642" s="126">
        <v>45194</v>
      </c>
      <c r="B642" s="127">
        <v>19674.55078125</v>
      </c>
      <c r="C642" s="56">
        <f t="shared" si="18"/>
        <v>1.5288066889551644E-5</v>
      </c>
      <c r="D642" s="127">
        <v>3468.03100585937</v>
      </c>
      <c r="E642" s="56">
        <f t="shared" si="19"/>
        <v>1.4926801074148788E-3</v>
      </c>
    </row>
    <row r="643" spans="1:5" x14ac:dyDescent="0.3">
      <c r="A643" s="126">
        <v>45195</v>
      </c>
      <c r="B643" s="127">
        <v>19664.69921875</v>
      </c>
      <c r="C643" s="56">
        <f t="shared" si="18"/>
        <v>-5.0072617207552739E-4</v>
      </c>
      <c r="D643" s="127">
        <v>3443.11254882812</v>
      </c>
      <c r="E643" s="56">
        <f t="shared" si="19"/>
        <v>-7.1851886529126219E-3</v>
      </c>
    </row>
    <row r="644" spans="1:5" x14ac:dyDescent="0.3">
      <c r="A644" s="126">
        <v>45196</v>
      </c>
      <c r="B644" s="127">
        <v>19716.44921875</v>
      </c>
      <c r="C644" s="56">
        <f t="shared" si="18"/>
        <v>2.631619198663282E-3</v>
      </c>
      <c r="D644" s="127">
        <v>3471.44409179687</v>
      </c>
      <c r="E644" s="56">
        <f t="shared" si="19"/>
        <v>8.2284684473625802E-3</v>
      </c>
    </row>
    <row r="645" spans="1:5" x14ac:dyDescent="0.3">
      <c r="A645" s="126">
        <v>45197</v>
      </c>
      <c r="B645" s="127">
        <v>19523.55078125</v>
      </c>
      <c r="C645" s="56">
        <f t="shared" si="18"/>
        <v>-9.7836296667737077E-3</v>
      </c>
      <c r="D645" s="127">
        <v>3437.65112304687</v>
      </c>
      <c r="E645" s="56">
        <f t="shared" si="19"/>
        <v>-9.7345565293285308E-3</v>
      </c>
    </row>
    <row r="646" spans="1:5" x14ac:dyDescent="0.3">
      <c r="A646" s="126">
        <v>45198</v>
      </c>
      <c r="B646" s="127">
        <v>19638.30078125</v>
      </c>
      <c r="C646" s="56">
        <f t="shared" si="18"/>
        <v>5.8775169171687569E-3</v>
      </c>
      <c r="D646" s="127">
        <v>3516.74609375</v>
      </c>
      <c r="E646" s="56">
        <f t="shared" si="19"/>
        <v>2.3008434501353925E-2</v>
      </c>
    </row>
    <row r="647" spans="1:5" x14ac:dyDescent="0.3">
      <c r="A647" s="126">
        <v>45202</v>
      </c>
      <c r="B647" s="127">
        <v>19528.75</v>
      </c>
      <c r="C647" s="56">
        <f t="shared" ref="C647:C710" si="20">B647/B646-1</f>
        <v>-5.5784246544688942E-3</v>
      </c>
      <c r="D647" s="127">
        <v>3485.19604492187</v>
      </c>
      <c r="E647" s="56">
        <f t="shared" ref="E647:E710" si="21">D647/D646-1</f>
        <v>-8.971375239230639E-3</v>
      </c>
    </row>
    <row r="648" spans="1:5" x14ac:dyDescent="0.3">
      <c r="A648" s="126">
        <v>45203</v>
      </c>
      <c r="B648" s="127">
        <v>19436.099609375</v>
      </c>
      <c r="C648" s="56">
        <f t="shared" si="20"/>
        <v>-4.7443072713306833E-3</v>
      </c>
      <c r="D648" s="127">
        <v>3390.0576171875</v>
      </c>
      <c r="E648" s="56">
        <f t="shared" si="21"/>
        <v>-2.72978697634505E-2</v>
      </c>
    </row>
    <row r="649" spans="1:5" x14ac:dyDescent="0.3">
      <c r="A649" s="126">
        <v>45204</v>
      </c>
      <c r="B649" s="127">
        <v>19545.75</v>
      </c>
      <c r="C649" s="56">
        <f t="shared" si="20"/>
        <v>5.6415841052857019E-3</v>
      </c>
      <c r="D649" s="127">
        <v>3372.01489257812</v>
      </c>
      <c r="E649" s="56">
        <f t="shared" si="21"/>
        <v>-5.3222471847982344E-3</v>
      </c>
    </row>
    <row r="650" spans="1:5" x14ac:dyDescent="0.3">
      <c r="A650" s="126">
        <v>45205</v>
      </c>
      <c r="B650" s="127">
        <v>19653.5</v>
      </c>
      <c r="C650" s="56">
        <f t="shared" si="20"/>
        <v>5.5127073660514725E-3</v>
      </c>
      <c r="D650" s="127">
        <v>3435.40795898437</v>
      </c>
      <c r="E650" s="56">
        <f t="shared" si="21"/>
        <v>1.8799758727572558E-2</v>
      </c>
    </row>
    <row r="651" spans="1:5" x14ac:dyDescent="0.3">
      <c r="A651" s="126">
        <v>45208</v>
      </c>
      <c r="B651" s="127">
        <v>19512.349609375</v>
      </c>
      <c r="C651" s="56">
        <f t="shared" si="20"/>
        <v>-7.1819467588469799E-3</v>
      </c>
      <c r="D651" s="127">
        <v>3463.73999023437</v>
      </c>
      <c r="E651" s="56">
        <f t="shared" si="21"/>
        <v>8.247064566496487E-3</v>
      </c>
    </row>
    <row r="652" spans="1:5" x14ac:dyDescent="0.3">
      <c r="A652" s="126">
        <v>45209</v>
      </c>
      <c r="B652" s="127">
        <v>19689.849609375</v>
      </c>
      <c r="C652" s="56">
        <f t="shared" si="20"/>
        <v>9.0968029762401592E-3</v>
      </c>
      <c r="D652" s="127">
        <v>3497.09423828125</v>
      </c>
      <c r="E652" s="56">
        <f t="shared" si="21"/>
        <v>9.6295472930758574E-3</v>
      </c>
    </row>
    <row r="653" spans="1:5" x14ac:dyDescent="0.3">
      <c r="A653" s="126">
        <v>45210</v>
      </c>
      <c r="B653" s="127">
        <v>19811.349609375</v>
      </c>
      <c r="C653" s="56">
        <f t="shared" si="20"/>
        <v>6.1706921287072447E-3</v>
      </c>
      <c r="D653" s="127">
        <v>3452.2314453125</v>
      </c>
      <c r="E653" s="56">
        <f t="shared" si="21"/>
        <v>-1.2828591370988907E-2</v>
      </c>
    </row>
    <row r="654" spans="1:5" x14ac:dyDescent="0.3">
      <c r="A654" s="126">
        <v>45211</v>
      </c>
      <c r="B654" s="127">
        <v>19794</v>
      </c>
      <c r="C654" s="56">
        <f t="shared" si="20"/>
        <v>-8.7574091200681714E-4</v>
      </c>
      <c r="D654" s="127">
        <v>3506.06665039062</v>
      </c>
      <c r="E654" s="56">
        <f t="shared" si="21"/>
        <v>1.5594320928632444E-2</v>
      </c>
    </row>
    <row r="655" spans="1:5" x14ac:dyDescent="0.3">
      <c r="A655" s="126">
        <v>45212</v>
      </c>
      <c r="B655" s="127">
        <v>19751.05078125</v>
      </c>
      <c r="C655" s="56">
        <f t="shared" si="20"/>
        <v>-2.1698099802970328E-3</v>
      </c>
      <c r="D655" s="127">
        <v>3523.13427734375</v>
      </c>
      <c r="E655" s="56">
        <f t="shared" si="21"/>
        <v>4.8680269530039233E-3</v>
      </c>
    </row>
    <row r="656" spans="1:5" x14ac:dyDescent="0.3">
      <c r="A656" s="126">
        <v>45215</v>
      </c>
      <c r="B656" s="127">
        <v>19731.75</v>
      </c>
      <c r="C656" s="56">
        <f t="shared" si="20"/>
        <v>-9.772027556287366E-4</v>
      </c>
      <c r="D656" s="127">
        <v>3520.11108398437</v>
      </c>
      <c r="E656" s="56">
        <f t="shared" si="21"/>
        <v>-8.5809768274269782E-4</v>
      </c>
    </row>
    <row r="657" spans="1:5" x14ac:dyDescent="0.3">
      <c r="A657" s="126">
        <v>45216</v>
      </c>
      <c r="B657" s="127">
        <v>19811.5</v>
      </c>
      <c r="C657" s="56">
        <f t="shared" si="20"/>
        <v>4.0417094276989918E-3</v>
      </c>
      <c r="D657" s="127">
        <v>3530.7900390625</v>
      </c>
      <c r="E657" s="56">
        <f t="shared" si="21"/>
        <v>3.0336983189866995E-3</v>
      </c>
    </row>
    <row r="658" spans="1:5" x14ac:dyDescent="0.3">
      <c r="A658" s="126">
        <v>45217</v>
      </c>
      <c r="B658" s="127">
        <v>19671.099609375</v>
      </c>
      <c r="C658" s="56">
        <f t="shared" si="20"/>
        <v>-7.0868127413371562E-3</v>
      </c>
      <c r="D658" s="127">
        <v>3543.07836914062</v>
      </c>
      <c r="E658" s="56">
        <f t="shared" si="21"/>
        <v>3.4803344130263092E-3</v>
      </c>
    </row>
    <row r="659" spans="1:5" x14ac:dyDescent="0.3">
      <c r="A659" s="126">
        <v>45218</v>
      </c>
      <c r="B659" s="127">
        <v>19624.69921875</v>
      </c>
      <c r="C659" s="56">
        <f t="shared" si="20"/>
        <v>-2.3588102112443998E-3</v>
      </c>
      <c r="D659" s="127">
        <v>3526.44995117187</v>
      </c>
      <c r="E659" s="56">
        <f t="shared" si="21"/>
        <v>-4.6932120140439348E-3</v>
      </c>
    </row>
    <row r="660" spans="1:5" x14ac:dyDescent="0.3">
      <c r="A660" s="126">
        <v>45219</v>
      </c>
      <c r="B660" s="127">
        <v>19542.650390625</v>
      </c>
      <c r="C660" s="56">
        <f t="shared" si="20"/>
        <v>-4.1808960845935994E-3</v>
      </c>
      <c r="D660" s="127">
        <v>3496.94799804687</v>
      </c>
      <c r="E660" s="56">
        <f t="shared" si="21"/>
        <v>-8.3659072249688826E-3</v>
      </c>
    </row>
    <row r="661" spans="1:5" x14ac:dyDescent="0.3">
      <c r="A661" s="126">
        <v>45222</v>
      </c>
      <c r="B661" s="127">
        <v>19281.75</v>
      </c>
      <c r="C661" s="56">
        <f t="shared" si="20"/>
        <v>-1.3350307425555652E-2</v>
      </c>
      <c r="D661" s="127">
        <v>3446.4775390625</v>
      </c>
      <c r="E661" s="56">
        <f t="shared" si="21"/>
        <v>-1.4432716475211826E-2</v>
      </c>
    </row>
    <row r="662" spans="1:5" x14ac:dyDescent="0.3">
      <c r="A662" s="126">
        <v>45224</v>
      </c>
      <c r="B662" s="127">
        <v>19122.150390625</v>
      </c>
      <c r="C662" s="56">
        <f t="shared" si="20"/>
        <v>-8.2772367329210228E-3</v>
      </c>
      <c r="D662" s="127">
        <v>3496.7041015625</v>
      </c>
      <c r="E662" s="56">
        <f t="shared" si="21"/>
        <v>1.4573303301916418E-2</v>
      </c>
    </row>
    <row r="663" spans="1:5" x14ac:dyDescent="0.3">
      <c r="A663" s="126">
        <v>45225</v>
      </c>
      <c r="B663" s="127">
        <v>18857.25</v>
      </c>
      <c r="C663" s="56">
        <f t="shared" si="20"/>
        <v>-1.3853064912347501E-2</v>
      </c>
      <c r="D663" s="127">
        <v>3472.76098632812</v>
      </c>
      <c r="E663" s="56">
        <f t="shared" si="21"/>
        <v>-6.8473381043826498E-3</v>
      </c>
    </row>
    <row r="664" spans="1:5" x14ac:dyDescent="0.3">
      <c r="A664" s="126">
        <v>45226</v>
      </c>
      <c r="B664" s="127">
        <v>19047.25</v>
      </c>
      <c r="C664" s="56">
        <f t="shared" si="20"/>
        <v>1.0075700327460302E-2</v>
      </c>
      <c r="D664" s="127">
        <v>3584.28344726562</v>
      </c>
      <c r="E664" s="56">
        <f t="shared" si="21"/>
        <v>3.2113485891068105E-2</v>
      </c>
    </row>
    <row r="665" spans="1:5" x14ac:dyDescent="0.3">
      <c r="A665" s="126">
        <v>45229</v>
      </c>
      <c r="B665" s="127">
        <v>19140.900390625</v>
      </c>
      <c r="C665" s="56">
        <f t="shared" si="20"/>
        <v>4.9167407696648624E-3</v>
      </c>
      <c r="D665" s="127">
        <v>3600.4736328125</v>
      </c>
      <c r="E665" s="56">
        <f t="shared" si="21"/>
        <v>4.5169936432429836E-3</v>
      </c>
    </row>
    <row r="666" spans="1:5" x14ac:dyDescent="0.3">
      <c r="A666" s="126">
        <v>45230</v>
      </c>
      <c r="B666" s="127">
        <v>19079.599609375</v>
      </c>
      <c r="C666" s="56">
        <f t="shared" si="20"/>
        <v>-3.2026069828995363E-3</v>
      </c>
      <c r="D666" s="127">
        <v>3629.82934570312</v>
      </c>
      <c r="E666" s="56">
        <f t="shared" si="21"/>
        <v>8.1532920066655912E-3</v>
      </c>
    </row>
    <row r="667" spans="1:5" x14ac:dyDescent="0.3">
      <c r="A667" s="126">
        <v>45231</v>
      </c>
      <c r="B667" s="127">
        <v>18989.150390625</v>
      </c>
      <c r="C667" s="56">
        <f t="shared" si="20"/>
        <v>-4.7406245729368912E-3</v>
      </c>
      <c r="D667" s="127">
        <v>3630.60913085937</v>
      </c>
      <c r="E667" s="56">
        <f t="shared" si="21"/>
        <v>2.1482694693975013E-4</v>
      </c>
    </row>
    <row r="668" spans="1:5" x14ac:dyDescent="0.3">
      <c r="A668" s="126">
        <v>45232</v>
      </c>
      <c r="B668" s="127">
        <v>19133.25</v>
      </c>
      <c r="C668" s="56">
        <f t="shared" si="20"/>
        <v>7.5885232572669992E-3</v>
      </c>
      <c r="D668" s="127">
        <v>3698.48852539062</v>
      </c>
      <c r="E668" s="56">
        <f t="shared" si="21"/>
        <v>1.8696420375933664E-2</v>
      </c>
    </row>
    <row r="669" spans="1:5" x14ac:dyDescent="0.3">
      <c r="A669" s="126">
        <v>45233</v>
      </c>
      <c r="B669" s="127">
        <v>19230.599609375</v>
      </c>
      <c r="C669" s="56">
        <f t="shared" si="20"/>
        <v>5.0879808383312852E-3</v>
      </c>
      <c r="D669" s="127">
        <v>3714.77587890625</v>
      </c>
      <c r="E669" s="56">
        <f t="shared" si="21"/>
        <v>4.4037864126966753E-3</v>
      </c>
    </row>
    <row r="670" spans="1:5" x14ac:dyDescent="0.3">
      <c r="A670" s="126">
        <v>45236</v>
      </c>
      <c r="B670" s="127">
        <v>19411.75</v>
      </c>
      <c r="C670" s="56">
        <f t="shared" si="20"/>
        <v>9.4199033989916803E-3</v>
      </c>
      <c r="D670" s="127">
        <v>3730.6240234375</v>
      </c>
      <c r="E670" s="56">
        <f t="shared" si="21"/>
        <v>4.2662451377595279E-3</v>
      </c>
    </row>
    <row r="671" spans="1:5" x14ac:dyDescent="0.3">
      <c r="A671" s="126">
        <v>45237</v>
      </c>
      <c r="B671" s="127">
        <v>19406.69921875</v>
      </c>
      <c r="C671" s="56">
        <f t="shared" si="20"/>
        <v>-2.6019195847870602E-4</v>
      </c>
      <c r="D671" s="127">
        <v>3927.77587890625</v>
      </c>
      <c r="E671" s="56">
        <f t="shared" si="21"/>
        <v>5.28468841218388E-2</v>
      </c>
    </row>
    <row r="672" spans="1:5" x14ac:dyDescent="0.3">
      <c r="A672" s="126">
        <v>45238</v>
      </c>
      <c r="B672" s="127">
        <v>19443.5</v>
      </c>
      <c r="C672" s="56">
        <f t="shared" si="20"/>
        <v>1.8962926582819506E-3</v>
      </c>
      <c r="D672" s="127">
        <v>4128.04931640625</v>
      </c>
      <c r="E672" s="56">
        <f t="shared" si="21"/>
        <v>5.0989018639161499E-2</v>
      </c>
    </row>
    <row r="673" spans="1:5" x14ac:dyDescent="0.3">
      <c r="A673" s="126">
        <v>45239</v>
      </c>
      <c r="B673" s="127">
        <v>19395.30078125</v>
      </c>
      <c r="C673" s="56">
        <f t="shared" si="20"/>
        <v>-2.4789373698150818E-3</v>
      </c>
      <c r="D673" s="127">
        <v>4176.81298828125</v>
      </c>
      <c r="E673" s="56">
        <f t="shared" si="21"/>
        <v>1.1812763883705779E-2</v>
      </c>
    </row>
    <row r="674" spans="1:5" x14ac:dyDescent="0.3">
      <c r="A674" s="126">
        <v>45240</v>
      </c>
      <c r="B674" s="127">
        <v>19425.349609375</v>
      </c>
      <c r="C674" s="56">
        <f t="shared" si="20"/>
        <v>1.549283945833313E-3</v>
      </c>
      <c r="D674" s="127">
        <v>4199.77978515625</v>
      </c>
      <c r="E674" s="56">
        <f t="shared" si="21"/>
        <v>5.4986414137854212E-3</v>
      </c>
    </row>
    <row r="675" spans="1:5" x14ac:dyDescent="0.3">
      <c r="A675" s="126">
        <v>45243</v>
      </c>
      <c r="B675" s="127">
        <v>19443.55078125</v>
      </c>
      <c r="C675" s="56">
        <f t="shared" si="20"/>
        <v>9.3698040143452843E-4</v>
      </c>
      <c r="D675" s="127">
        <v>4193.63671875</v>
      </c>
      <c r="E675" s="56">
        <f t="shared" si="21"/>
        <v>-1.4627115516775424E-3</v>
      </c>
    </row>
    <row r="676" spans="1:5" x14ac:dyDescent="0.3">
      <c r="A676" s="126">
        <v>45245</v>
      </c>
      <c r="B676" s="127">
        <v>19675.44921875</v>
      </c>
      <c r="C676" s="56">
        <f t="shared" si="20"/>
        <v>1.1926753508604282E-2</v>
      </c>
      <c r="D676" s="127">
        <v>4237.5234375</v>
      </c>
      <c r="E676" s="56">
        <f t="shared" si="21"/>
        <v>1.0465074037953714E-2</v>
      </c>
    </row>
    <row r="677" spans="1:5" x14ac:dyDescent="0.3">
      <c r="A677" s="126">
        <v>45246</v>
      </c>
      <c r="B677" s="127">
        <v>19765.19921875</v>
      </c>
      <c r="C677" s="56">
        <f t="shared" si="20"/>
        <v>4.561522280999375E-3</v>
      </c>
      <c r="D677" s="127">
        <v>4253.4208984375</v>
      </c>
      <c r="E677" s="56">
        <f t="shared" si="21"/>
        <v>3.7515924506317244E-3</v>
      </c>
    </row>
    <row r="678" spans="1:5" x14ac:dyDescent="0.3">
      <c r="A678" s="126">
        <v>45247</v>
      </c>
      <c r="B678" s="127">
        <v>19731.80078125</v>
      </c>
      <c r="C678" s="56">
        <f t="shared" si="20"/>
        <v>-1.6897597201204206E-3</v>
      </c>
      <c r="D678" s="127">
        <v>4338.46484375</v>
      </c>
      <c r="E678" s="56">
        <f t="shared" si="21"/>
        <v>1.999424635914604E-2</v>
      </c>
    </row>
    <row r="679" spans="1:5" x14ac:dyDescent="0.3">
      <c r="A679" s="126">
        <v>45250</v>
      </c>
      <c r="B679" s="127">
        <v>19694</v>
      </c>
      <c r="C679" s="56">
        <f t="shared" si="20"/>
        <v>-1.9157289123818977E-3</v>
      </c>
      <c r="D679" s="127">
        <v>4281.99560546875</v>
      </c>
      <c r="E679" s="56">
        <f t="shared" si="21"/>
        <v>-1.3015949262006776E-2</v>
      </c>
    </row>
    <row r="680" spans="1:5" x14ac:dyDescent="0.3">
      <c r="A680" s="126">
        <v>45251</v>
      </c>
      <c r="B680" s="127">
        <v>19783.400390625</v>
      </c>
      <c r="C680" s="56">
        <f t="shared" si="20"/>
        <v>4.5394734754240496E-3</v>
      </c>
      <c r="D680" s="127">
        <v>4377.3291015625</v>
      </c>
      <c r="E680" s="56">
        <f t="shared" si="21"/>
        <v>2.2263800544772838E-2</v>
      </c>
    </row>
    <row r="681" spans="1:5" x14ac:dyDescent="0.3">
      <c r="A681" s="126">
        <v>45252</v>
      </c>
      <c r="B681" s="127">
        <v>19811.849609375</v>
      </c>
      <c r="C681" s="56">
        <f t="shared" si="20"/>
        <v>1.4380348265852216E-3</v>
      </c>
      <c r="D681" s="127">
        <v>4418.9248046875</v>
      </c>
      <c r="E681" s="56">
        <f t="shared" si="21"/>
        <v>9.5025304609042127E-3</v>
      </c>
    </row>
    <row r="682" spans="1:5" x14ac:dyDescent="0.3">
      <c r="A682" s="126">
        <v>45253</v>
      </c>
      <c r="B682" s="127">
        <v>19802</v>
      </c>
      <c r="C682" s="56">
        <f t="shared" si="20"/>
        <v>-4.9715748752399147E-4</v>
      </c>
      <c r="D682" s="127">
        <v>4409.36669921875</v>
      </c>
      <c r="E682" s="56">
        <f t="shared" si="21"/>
        <v>-2.1629934636160364E-3</v>
      </c>
    </row>
    <row r="683" spans="1:5" x14ac:dyDescent="0.3">
      <c r="A683" s="126">
        <v>45254</v>
      </c>
      <c r="B683" s="127">
        <v>19794.69921875</v>
      </c>
      <c r="C683" s="56">
        <f t="shared" si="20"/>
        <v>-3.6868908443588033E-4</v>
      </c>
      <c r="D683" s="127">
        <v>4445.1103515625</v>
      </c>
      <c r="E683" s="56">
        <f t="shared" si="21"/>
        <v>8.1063006962163175E-3</v>
      </c>
    </row>
    <row r="684" spans="1:5" x14ac:dyDescent="0.3">
      <c r="A684" s="126">
        <v>45258</v>
      </c>
      <c r="B684" s="127">
        <v>19889.69921875</v>
      </c>
      <c r="C684" s="56">
        <f t="shared" si="20"/>
        <v>4.7992646389904969E-3</v>
      </c>
      <c r="D684" s="127">
        <v>4441.60009765625</v>
      </c>
      <c r="E684" s="56">
        <f t="shared" si="21"/>
        <v>-7.8968881054120033E-4</v>
      </c>
    </row>
    <row r="685" spans="1:5" x14ac:dyDescent="0.3">
      <c r="A685" s="126">
        <v>45259</v>
      </c>
      <c r="B685" s="127">
        <v>20096.599609375</v>
      </c>
      <c r="C685" s="56">
        <f t="shared" si="20"/>
        <v>1.0402389113554511E-2</v>
      </c>
      <c r="D685" s="127">
        <v>4454.3271484375</v>
      </c>
      <c r="E685" s="56">
        <f t="shared" si="21"/>
        <v>2.8654202317686117E-3</v>
      </c>
    </row>
    <row r="686" spans="1:5" x14ac:dyDescent="0.3">
      <c r="A686" s="126">
        <v>45260</v>
      </c>
      <c r="B686" s="127">
        <v>20133.150390625</v>
      </c>
      <c r="C686" s="56">
        <f t="shared" si="20"/>
        <v>1.8187545137213768E-3</v>
      </c>
      <c r="D686" s="127">
        <v>4606.76318359375</v>
      </c>
      <c r="E686" s="56">
        <f t="shared" si="21"/>
        <v>3.4222011557844878E-2</v>
      </c>
    </row>
    <row r="687" spans="1:5" x14ac:dyDescent="0.3">
      <c r="A687" s="126">
        <v>45261</v>
      </c>
      <c r="B687" s="127">
        <v>20267.900390625</v>
      </c>
      <c r="C687" s="56">
        <f t="shared" si="20"/>
        <v>6.6929416105065975E-3</v>
      </c>
      <c r="D687" s="127">
        <v>4532.98291015625</v>
      </c>
      <c r="E687" s="56">
        <f t="shared" si="21"/>
        <v>-1.6015642761984528E-2</v>
      </c>
    </row>
    <row r="688" spans="1:5" x14ac:dyDescent="0.3">
      <c r="A688" s="126">
        <v>45264</v>
      </c>
      <c r="B688" s="127">
        <v>20686.80078125</v>
      </c>
      <c r="C688" s="56">
        <f t="shared" si="20"/>
        <v>2.0668169003769332E-2</v>
      </c>
      <c r="D688" s="127">
        <v>4499.091796875</v>
      </c>
      <c r="E688" s="56">
        <f t="shared" si="21"/>
        <v>-7.4765588031042718E-3</v>
      </c>
    </row>
    <row r="689" spans="1:5" x14ac:dyDescent="0.3">
      <c r="A689" s="126">
        <v>45265</v>
      </c>
      <c r="B689" s="127">
        <v>20855.099609375</v>
      </c>
      <c r="C689" s="56">
        <f t="shared" si="20"/>
        <v>8.1355657602475429E-3</v>
      </c>
      <c r="D689" s="127">
        <v>4537.810546875</v>
      </c>
      <c r="E689" s="56">
        <f t="shared" si="21"/>
        <v>8.6059035352186175E-3</v>
      </c>
    </row>
    <row r="690" spans="1:5" x14ac:dyDescent="0.3">
      <c r="A690" s="126">
        <v>45266</v>
      </c>
      <c r="B690" s="127">
        <v>20937.69921875</v>
      </c>
      <c r="C690" s="56">
        <f t="shared" si="20"/>
        <v>3.9606432442005346E-3</v>
      </c>
      <c r="D690" s="127">
        <v>4608.95703125</v>
      </c>
      <c r="E690" s="56">
        <f t="shared" si="21"/>
        <v>1.5678592933765279E-2</v>
      </c>
    </row>
    <row r="691" spans="1:5" x14ac:dyDescent="0.3">
      <c r="A691" s="126">
        <v>45267</v>
      </c>
      <c r="B691" s="127">
        <v>20901.150390625</v>
      </c>
      <c r="C691" s="56">
        <f t="shared" si="20"/>
        <v>-1.7455990623970186E-3</v>
      </c>
      <c r="D691" s="127">
        <v>4768.609375</v>
      </c>
      <c r="E691" s="56">
        <f t="shared" si="21"/>
        <v>3.4639581724783541E-2</v>
      </c>
    </row>
    <row r="692" spans="1:5" x14ac:dyDescent="0.3">
      <c r="A692" s="126">
        <v>45268</v>
      </c>
      <c r="B692" s="127">
        <v>20969.400390625</v>
      </c>
      <c r="C692" s="56">
        <f t="shared" si="20"/>
        <v>3.2653705047074322E-3</v>
      </c>
      <c r="D692" s="127">
        <v>4677.47021484375</v>
      </c>
      <c r="E692" s="56">
        <f t="shared" si="21"/>
        <v>-1.9112314091831006E-2</v>
      </c>
    </row>
    <row r="693" spans="1:5" x14ac:dyDescent="0.3">
      <c r="A693" s="126">
        <v>45271</v>
      </c>
      <c r="B693" s="127">
        <v>20997.099609375</v>
      </c>
      <c r="C693" s="56">
        <f t="shared" si="20"/>
        <v>1.320935183362959E-3</v>
      </c>
      <c r="D693" s="127">
        <v>4608.42041015625</v>
      </c>
      <c r="E693" s="56">
        <f t="shared" si="21"/>
        <v>-1.4762211519460555E-2</v>
      </c>
    </row>
    <row r="694" spans="1:5" x14ac:dyDescent="0.3">
      <c r="A694" s="126">
        <v>45272</v>
      </c>
      <c r="B694" s="127">
        <v>20906.400390625</v>
      </c>
      <c r="C694" s="56">
        <f t="shared" si="20"/>
        <v>-4.3196070141755527E-3</v>
      </c>
      <c r="D694" s="127">
        <v>4676.64111328125</v>
      </c>
      <c r="E694" s="56">
        <f t="shared" si="21"/>
        <v>1.4803489493851796E-2</v>
      </c>
    </row>
    <row r="695" spans="1:5" x14ac:dyDescent="0.3">
      <c r="A695" s="126">
        <v>45273</v>
      </c>
      <c r="B695" s="127">
        <v>20926.349609375</v>
      </c>
      <c r="C695" s="56">
        <f t="shared" si="20"/>
        <v>9.5421585625743433E-4</v>
      </c>
      <c r="D695" s="127">
        <v>4764.5625</v>
      </c>
      <c r="E695" s="56">
        <f t="shared" si="21"/>
        <v>1.8800114139411184E-2</v>
      </c>
    </row>
    <row r="696" spans="1:5" x14ac:dyDescent="0.3">
      <c r="A696" s="126">
        <v>45274</v>
      </c>
      <c r="B696" s="127">
        <v>21182.69921875</v>
      </c>
      <c r="C696" s="56">
        <f t="shared" si="20"/>
        <v>1.2250087289956912E-2</v>
      </c>
      <c r="D696" s="127">
        <v>4737.1083984375</v>
      </c>
      <c r="E696" s="56">
        <f t="shared" si="21"/>
        <v>-5.7621453307622472E-3</v>
      </c>
    </row>
    <row r="697" spans="1:5" x14ac:dyDescent="0.3">
      <c r="A697" s="126">
        <v>45275</v>
      </c>
      <c r="B697" s="127">
        <v>21456.650390625</v>
      </c>
      <c r="C697" s="56">
        <f t="shared" si="20"/>
        <v>1.2932779200891975E-2</v>
      </c>
      <c r="D697" s="127">
        <v>4797.72216796875</v>
      </c>
      <c r="E697" s="56">
        <f t="shared" si="21"/>
        <v>1.279552090284497E-2</v>
      </c>
    </row>
    <row r="698" spans="1:5" x14ac:dyDescent="0.3">
      <c r="A698" s="126">
        <v>45278</v>
      </c>
      <c r="B698" s="127">
        <v>21418.650390625</v>
      </c>
      <c r="C698" s="56">
        <f t="shared" si="20"/>
        <v>-1.7710126840955187E-3</v>
      </c>
      <c r="D698" s="127">
        <v>4782.01904296875</v>
      </c>
      <c r="E698" s="56">
        <f t="shared" si="21"/>
        <v>-3.2730375895543284E-3</v>
      </c>
    </row>
    <row r="699" spans="1:5" x14ac:dyDescent="0.3">
      <c r="A699" s="126">
        <v>45279</v>
      </c>
      <c r="B699" s="127">
        <v>21453.099609375</v>
      </c>
      <c r="C699" s="56">
        <f t="shared" si="20"/>
        <v>1.6083748565725031E-3</v>
      </c>
      <c r="D699" s="127">
        <v>4814.59375</v>
      </c>
      <c r="E699" s="56">
        <f t="shared" si="21"/>
        <v>6.811914954447218E-3</v>
      </c>
    </row>
    <row r="700" spans="1:5" x14ac:dyDescent="0.3">
      <c r="A700" s="126">
        <v>45280</v>
      </c>
      <c r="B700" s="127">
        <v>21150.150390625</v>
      </c>
      <c r="C700" s="56">
        <f t="shared" si="20"/>
        <v>-1.412146609423337E-2</v>
      </c>
      <c r="D700" s="127">
        <v>4756.76025390625</v>
      </c>
      <c r="E700" s="56">
        <f t="shared" si="21"/>
        <v>-1.2012123783808337E-2</v>
      </c>
    </row>
    <row r="701" spans="1:5" x14ac:dyDescent="0.3">
      <c r="A701" s="126">
        <v>45281</v>
      </c>
      <c r="B701" s="127">
        <v>21255.05078125</v>
      </c>
      <c r="C701" s="56">
        <f t="shared" si="20"/>
        <v>4.9597940765233606E-3</v>
      </c>
      <c r="D701" s="127">
        <v>4788.50537109375</v>
      </c>
      <c r="E701" s="56">
        <f t="shared" si="21"/>
        <v>6.6736845022683511E-3</v>
      </c>
    </row>
    <row r="702" spans="1:5" x14ac:dyDescent="0.3">
      <c r="A702" s="126">
        <v>45282</v>
      </c>
      <c r="B702" s="127">
        <v>21349.400390625</v>
      </c>
      <c r="C702" s="56">
        <f t="shared" si="20"/>
        <v>4.4389265566107117E-3</v>
      </c>
      <c r="D702" s="127">
        <v>4792.89404296875</v>
      </c>
      <c r="E702" s="56">
        <f t="shared" si="21"/>
        <v>9.1650139968368904E-4</v>
      </c>
    </row>
    <row r="703" spans="1:5" x14ac:dyDescent="0.3">
      <c r="A703" s="126">
        <v>45286</v>
      </c>
      <c r="B703" s="127">
        <v>21441.349609375</v>
      </c>
      <c r="C703" s="56">
        <f t="shared" si="20"/>
        <v>4.3068759341071683E-3</v>
      </c>
      <c r="D703" s="127">
        <v>4849.55810546875</v>
      </c>
      <c r="E703" s="56">
        <f t="shared" si="21"/>
        <v>1.182251516349031E-2</v>
      </c>
    </row>
    <row r="704" spans="1:5" x14ac:dyDescent="0.3">
      <c r="A704" s="126">
        <v>45287</v>
      </c>
      <c r="B704" s="127">
        <v>21654.75</v>
      </c>
      <c r="C704" s="56">
        <f t="shared" si="20"/>
        <v>9.9527499207276993E-3</v>
      </c>
      <c r="D704" s="127">
        <v>4949.81591796875</v>
      </c>
      <c r="E704" s="56">
        <f t="shared" si="21"/>
        <v>2.067359753601905E-2</v>
      </c>
    </row>
    <row r="705" spans="1:5" x14ac:dyDescent="0.3">
      <c r="A705" s="126">
        <v>45288</v>
      </c>
      <c r="B705" s="127">
        <v>21778.69921875</v>
      </c>
      <c r="C705" s="56">
        <f t="shared" si="20"/>
        <v>5.7238813077962192E-3</v>
      </c>
      <c r="D705" s="127">
        <v>4999.60302734375</v>
      </c>
      <c r="E705" s="56">
        <f t="shared" si="21"/>
        <v>1.0058375947732401E-2</v>
      </c>
    </row>
    <row r="706" spans="1:5" x14ac:dyDescent="0.3">
      <c r="A706" s="126">
        <v>45289</v>
      </c>
      <c r="B706" s="127">
        <v>21731.400390625</v>
      </c>
      <c r="C706" s="56">
        <f t="shared" si="20"/>
        <v>-2.1717930740454694E-3</v>
      </c>
      <c r="D706" s="127">
        <v>5073.96826171875</v>
      </c>
      <c r="E706" s="56">
        <f t="shared" si="21"/>
        <v>1.4874227807344376E-2</v>
      </c>
    </row>
    <row r="707" spans="1:5" x14ac:dyDescent="0.3">
      <c r="A707" s="126">
        <v>45292</v>
      </c>
      <c r="B707" s="127">
        <v>21741.900390625</v>
      </c>
      <c r="C707" s="56">
        <f t="shared" si="20"/>
        <v>4.8317180721269004E-4</v>
      </c>
      <c r="D707" s="127">
        <v>4993.41015625</v>
      </c>
      <c r="E707" s="56">
        <f t="shared" si="21"/>
        <v>-1.5876746032593814E-2</v>
      </c>
    </row>
    <row r="708" spans="1:5" x14ac:dyDescent="0.3">
      <c r="A708" s="126">
        <v>45293</v>
      </c>
      <c r="B708" s="127">
        <v>21665.80078125</v>
      </c>
      <c r="C708" s="56">
        <f t="shared" si="20"/>
        <v>-3.5001360510240609E-3</v>
      </c>
      <c r="D708" s="127">
        <v>5057.77880859375</v>
      </c>
      <c r="E708" s="56">
        <f t="shared" si="21"/>
        <v>1.2890720034921088E-2</v>
      </c>
    </row>
    <row r="709" spans="1:5" x14ac:dyDescent="0.3">
      <c r="A709" s="126">
        <v>45294</v>
      </c>
      <c r="B709" s="127">
        <v>21517.349609375</v>
      </c>
      <c r="C709" s="56">
        <f t="shared" si="20"/>
        <v>-6.8518663756694798E-3</v>
      </c>
      <c r="D709" s="127">
        <v>5110.93115234375</v>
      </c>
      <c r="E709" s="56">
        <f t="shared" si="21"/>
        <v>1.0509028915951735E-2</v>
      </c>
    </row>
    <row r="710" spans="1:5" x14ac:dyDescent="0.3">
      <c r="A710" s="126">
        <v>45295</v>
      </c>
      <c r="B710" s="127">
        <v>21658.599609375</v>
      </c>
      <c r="C710" s="56">
        <f t="shared" si="20"/>
        <v>6.5644701863494248E-3</v>
      </c>
      <c r="D710" s="127">
        <v>5139.16650390625</v>
      </c>
      <c r="E710" s="56">
        <f t="shared" si="21"/>
        <v>5.5245024283983035E-3</v>
      </c>
    </row>
    <row r="711" spans="1:5" x14ac:dyDescent="0.3">
      <c r="A711" s="126">
        <v>45296</v>
      </c>
      <c r="B711" s="127">
        <v>21710.80078125</v>
      </c>
      <c r="C711" s="56">
        <f t="shared" ref="C711:C774" si="22">B711/B710-1</f>
        <v>2.4101822286055619E-3</v>
      </c>
      <c r="D711" s="127">
        <v>5109.07861328125</v>
      </c>
      <c r="E711" s="56">
        <f t="shared" ref="E711:E774" si="23">D711/D710-1</f>
        <v>-5.8546245976133227E-3</v>
      </c>
    </row>
    <row r="712" spans="1:5" x14ac:dyDescent="0.3">
      <c r="A712" s="126">
        <v>45299</v>
      </c>
      <c r="B712" s="127">
        <v>21513</v>
      </c>
      <c r="C712" s="56">
        <f t="shared" si="22"/>
        <v>-9.1107086856430097E-3</v>
      </c>
      <c r="D712" s="127">
        <v>5074.89501953125</v>
      </c>
      <c r="E712" s="56">
        <f t="shared" si="23"/>
        <v>-6.6907550925402459E-3</v>
      </c>
    </row>
    <row r="713" spans="1:5" x14ac:dyDescent="0.3">
      <c r="A713" s="126">
        <v>45300</v>
      </c>
      <c r="B713" s="127">
        <v>21544.849609375</v>
      </c>
      <c r="C713" s="56">
        <f t="shared" si="22"/>
        <v>1.4804820050666745E-3</v>
      </c>
      <c r="D713" s="127">
        <v>5050.5126953125</v>
      </c>
      <c r="E713" s="56">
        <f t="shared" si="23"/>
        <v>-4.8044982457592367E-3</v>
      </c>
    </row>
    <row r="714" spans="1:5" x14ac:dyDescent="0.3">
      <c r="A714" s="126">
        <v>45301</v>
      </c>
      <c r="B714" s="127">
        <v>21618.69921875</v>
      </c>
      <c r="C714" s="56">
        <f t="shared" si="22"/>
        <v>3.4277152411805734E-3</v>
      </c>
      <c r="D714" s="127">
        <v>4993.2158203125</v>
      </c>
      <c r="E714" s="56">
        <f t="shared" si="23"/>
        <v>-1.1344764077749647E-2</v>
      </c>
    </row>
    <row r="715" spans="1:5" x14ac:dyDescent="0.3">
      <c r="A715" s="126">
        <v>45302</v>
      </c>
      <c r="B715" s="127">
        <v>21647.19921875</v>
      </c>
      <c r="C715" s="56">
        <f t="shared" si="22"/>
        <v>1.3183031833516878E-3</v>
      </c>
      <c r="D715" s="127">
        <v>4932.7001953125</v>
      </c>
      <c r="E715" s="56">
        <f t="shared" si="23"/>
        <v>-1.2119569267128649E-2</v>
      </c>
    </row>
    <row r="716" spans="1:5" x14ac:dyDescent="0.3">
      <c r="A716" s="126">
        <v>45303</v>
      </c>
      <c r="B716" s="127">
        <v>21894.55078125</v>
      </c>
      <c r="C716" s="56">
        <f t="shared" si="22"/>
        <v>1.1426492637705898E-2</v>
      </c>
      <c r="D716" s="127">
        <v>4923.87353515625</v>
      </c>
      <c r="E716" s="56">
        <f t="shared" si="23"/>
        <v>-1.7894175211859986E-3</v>
      </c>
    </row>
    <row r="717" spans="1:5" x14ac:dyDescent="0.3">
      <c r="A717" s="126">
        <v>45306</v>
      </c>
      <c r="B717" s="127">
        <v>22097.44921875</v>
      </c>
      <c r="C717" s="56">
        <f t="shared" si="22"/>
        <v>9.2670746948486649E-3</v>
      </c>
      <c r="D717" s="127">
        <v>4913.0478515625</v>
      </c>
      <c r="E717" s="56">
        <f t="shared" si="23"/>
        <v>-2.1986112186788143E-3</v>
      </c>
    </row>
    <row r="718" spans="1:5" x14ac:dyDescent="0.3">
      <c r="A718" s="126">
        <v>45307</v>
      </c>
      <c r="B718" s="127">
        <v>22032.30078125</v>
      </c>
      <c r="C718" s="56">
        <f t="shared" si="22"/>
        <v>-2.9482333845447517E-3</v>
      </c>
      <c r="D718" s="127">
        <v>4935.4794921875</v>
      </c>
      <c r="E718" s="56">
        <f t="shared" si="23"/>
        <v>4.5657280984685578E-3</v>
      </c>
    </row>
    <row r="719" spans="1:5" x14ac:dyDescent="0.3">
      <c r="A719" s="126">
        <v>45308</v>
      </c>
      <c r="B719" s="127">
        <v>21571.94921875</v>
      </c>
      <c r="C719" s="56">
        <f t="shared" si="22"/>
        <v>-2.0894393512082443E-2</v>
      </c>
      <c r="D719" s="127">
        <v>4931.1396484375</v>
      </c>
      <c r="E719" s="56">
        <f t="shared" si="23"/>
        <v>-8.7931552686415504E-4</v>
      </c>
    </row>
    <row r="720" spans="1:5" x14ac:dyDescent="0.3">
      <c r="A720" s="126">
        <v>45309</v>
      </c>
      <c r="B720" s="127">
        <v>21462.25</v>
      </c>
      <c r="C720" s="56">
        <f t="shared" si="22"/>
        <v>-5.0852715087356115E-3</v>
      </c>
      <c r="D720" s="127">
        <v>4811.86328125</v>
      </c>
      <c r="E720" s="56">
        <f t="shared" si="23"/>
        <v>-2.4188397752088475E-2</v>
      </c>
    </row>
    <row r="721" spans="1:5" x14ac:dyDescent="0.3">
      <c r="A721" s="126">
        <v>45310</v>
      </c>
      <c r="B721" s="127">
        <v>21622.400390625</v>
      </c>
      <c r="C721" s="56">
        <f t="shared" si="22"/>
        <v>7.4619571864553702E-3</v>
      </c>
      <c r="D721" s="127">
        <v>4841.56005859375</v>
      </c>
      <c r="E721" s="56">
        <f t="shared" si="23"/>
        <v>6.1715754600648598E-3</v>
      </c>
    </row>
    <row r="722" spans="1:5" x14ac:dyDescent="0.3">
      <c r="A722" s="126">
        <v>45314</v>
      </c>
      <c r="B722" s="127">
        <v>21238.80078125</v>
      </c>
      <c r="C722" s="56">
        <f t="shared" si="22"/>
        <v>-1.774084294273448E-2</v>
      </c>
      <c r="D722" s="127">
        <v>4696.634765625</v>
      </c>
      <c r="E722" s="56">
        <f t="shared" si="23"/>
        <v>-2.9933593968644034E-2</v>
      </c>
    </row>
    <row r="723" spans="1:5" x14ac:dyDescent="0.3">
      <c r="A723" s="126">
        <v>45315</v>
      </c>
      <c r="B723" s="127">
        <v>21453.94921875</v>
      </c>
      <c r="C723" s="56">
        <f t="shared" si="22"/>
        <v>1.0129971071150878E-2</v>
      </c>
      <c r="D723" s="127">
        <v>4875.98779296875</v>
      </c>
      <c r="E723" s="56">
        <f t="shared" si="23"/>
        <v>3.8187561156862282E-2</v>
      </c>
    </row>
    <row r="724" spans="1:5" x14ac:dyDescent="0.3">
      <c r="A724" s="126">
        <v>45316</v>
      </c>
      <c r="B724" s="127">
        <v>21352.599609375</v>
      </c>
      <c r="C724" s="56">
        <f t="shared" si="22"/>
        <v>-4.7240537554001927E-3</v>
      </c>
      <c r="D724" s="127">
        <v>4848.826171875</v>
      </c>
      <c r="E724" s="56">
        <f t="shared" si="23"/>
        <v>-5.5704858680978298E-3</v>
      </c>
    </row>
    <row r="725" spans="1:5" x14ac:dyDescent="0.3">
      <c r="A725" s="126">
        <v>45320</v>
      </c>
      <c r="B725" s="127">
        <v>21737.599609375</v>
      </c>
      <c r="C725" s="56">
        <f t="shared" si="22"/>
        <v>1.8030591452244726E-2</v>
      </c>
      <c r="D725" s="127">
        <v>4852.3369140625</v>
      </c>
      <c r="E725" s="56">
        <f t="shared" si="23"/>
        <v>7.2403960526856714E-4</v>
      </c>
    </row>
    <row r="726" spans="1:5" x14ac:dyDescent="0.3">
      <c r="A726" s="126">
        <v>45321</v>
      </c>
      <c r="B726" s="127">
        <v>21522.099609375</v>
      </c>
      <c r="C726" s="56">
        <f t="shared" si="22"/>
        <v>-9.9136981024832149E-3</v>
      </c>
      <c r="D726" s="127">
        <v>4824.0048828125</v>
      </c>
      <c r="E726" s="56">
        <f t="shared" si="23"/>
        <v>-5.8388425519034781E-3</v>
      </c>
    </row>
    <row r="727" spans="1:5" x14ac:dyDescent="0.3">
      <c r="A727" s="126">
        <v>45322</v>
      </c>
      <c r="B727" s="127">
        <v>21725.69921875</v>
      </c>
      <c r="C727" s="56">
        <f t="shared" si="22"/>
        <v>9.4600254190029265E-3</v>
      </c>
      <c r="D727" s="127">
        <v>4872.525390625</v>
      </c>
      <c r="E727" s="56">
        <f t="shared" si="23"/>
        <v>1.0058138204912304E-2</v>
      </c>
    </row>
    <row r="728" spans="1:5" x14ac:dyDescent="0.3">
      <c r="A728" s="126">
        <v>45323</v>
      </c>
      <c r="B728" s="127">
        <v>21697.44921875</v>
      </c>
      <c r="C728" s="56">
        <f t="shared" si="22"/>
        <v>-1.3003033741542103E-3</v>
      </c>
      <c r="D728" s="127">
        <v>4734.71875</v>
      </c>
      <c r="E728" s="56">
        <f t="shared" si="23"/>
        <v>-2.8282385329411963E-2</v>
      </c>
    </row>
    <row r="729" spans="1:5" x14ac:dyDescent="0.3">
      <c r="A729" s="126">
        <v>45324</v>
      </c>
      <c r="B729" s="127">
        <v>21853.80078125</v>
      </c>
      <c r="C729" s="56">
        <f t="shared" si="22"/>
        <v>7.2059881750932142E-3</v>
      </c>
      <c r="D729" s="127">
        <v>4796.11279296875</v>
      </c>
      <c r="E729" s="56">
        <f t="shared" si="23"/>
        <v>1.296677716469441E-2</v>
      </c>
    </row>
    <row r="730" spans="1:5" x14ac:dyDescent="0.3">
      <c r="A730" s="126">
        <v>45327</v>
      </c>
      <c r="B730" s="127">
        <v>21771.69921875</v>
      </c>
      <c r="C730" s="56">
        <f t="shared" si="22"/>
        <v>-3.7568550808078083E-3</v>
      </c>
      <c r="D730" s="127">
        <v>4802.3056640625</v>
      </c>
      <c r="E730" s="56">
        <f t="shared" si="23"/>
        <v>1.2912271585499013E-3</v>
      </c>
    </row>
    <row r="731" spans="1:5" x14ac:dyDescent="0.3">
      <c r="A731" s="126">
        <v>45328</v>
      </c>
      <c r="B731" s="127">
        <v>21929.400390625</v>
      </c>
      <c r="C731" s="56">
        <f t="shared" si="22"/>
        <v>7.2434021015312933E-3</v>
      </c>
      <c r="D731" s="127">
        <v>4939.9658203125</v>
      </c>
      <c r="E731" s="56">
        <f t="shared" si="23"/>
        <v>2.8665429874687787E-2</v>
      </c>
    </row>
    <row r="732" spans="1:5" x14ac:dyDescent="0.3">
      <c r="A732" s="126">
        <v>45329</v>
      </c>
      <c r="B732" s="127">
        <v>21930.5</v>
      </c>
      <c r="C732" s="56">
        <f t="shared" si="22"/>
        <v>5.0143157378279568E-5</v>
      </c>
      <c r="D732" s="127">
        <v>5001.06640625</v>
      </c>
      <c r="E732" s="56">
        <f t="shared" si="23"/>
        <v>1.2368625241547582E-2</v>
      </c>
    </row>
    <row r="733" spans="1:5" x14ac:dyDescent="0.3">
      <c r="A733" s="126">
        <v>45330</v>
      </c>
      <c r="B733" s="127">
        <v>21717.94921875</v>
      </c>
      <c r="C733" s="56">
        <f t="shared" si="22"/>
        <v>-9.6920171108729747E-3</v>
      </c>
      <c r="D733" s="127">
        <v>5179.833984375</v>
      </c>
      <c r="E733" s="56">
        <f t="shared" si="23"/>
        <v>3.5745891696536525E-2</v>
      </c>
    </row>
    <row r="734" spans="1:5" x14ac:dyDescent="0.3">
      <c r="A734" s="126">
        <v>45331</v>
      </c>
      <c r="B734" s="127">
        <v>21782.5</v>
      </c>
      <c r="C734" s="56">
        <f t="shared" si="22"/>
        <v>2.9722318898448563E-3</v>
      </c>
      <c r="D734" s="127">
        <v>5196.169921875</v>
      </c>
      <c r="E734" s="56">
        <f t="shared" si="23"/>
        <v>3.1537569638868668E-3</v>
      </c>
    </row>
    <row r="735" spans="1:5" x14ac:dyDescent="0.3">
      <c r="A735" s="126">
        <v>45334</v>
      </c>
      <c r="B735" s="127">
        <v>21616.05078125</v>
      </c>
      <c r="C735" s="56">
        <f t="shared" si="22"/>
        <v>-7.6414194307357075E-3</v>
      </c>
      <c r="D735" s="127">
        <v>5022.03466796875</v>
      </c>
      <c r="E735" s="56">
        <f t="shared" si="23"/>
        <v>-3.3512232379693696E-2</v>
      </c>
    </row>
    <row r="736" spans="1:5" x14ac:dyDescent="0.3">
      <c r="A736" s="126">
        <v>45335</v>
      </c>
      <c r="B736" s="127">
        <v>21743.25</v>
      </c>
      <c r="C736" s="56">
        <f t="shared" si="22"/>
        <v>5.8844800115076534E-3</v>
      </c>
      <c r="D736" s="127">
        <v>5162.57177734375</v>
      </c>
      <c r="E736" s="56">
        <f t="shared" si="23"/>
        <v>2.7984097814251596E-2</v>
      </c>
    </row>
    <row r="737" spans="1:5" x14ac:dyDescent="0.3">
      <c r="A737" s="126">
        <v>45336</v>
      </c>
      <c r="B737" s="127">
        <v>21840.05078125</v>
      </c>
      <c r="C737" s="56">
        <f t="shared" si="22"/>
        <v>4.4519922849619586E-3</v>
      </c>
      <c r="D737" s="127">
        <v>5108.2978515625</v>
      </c>
      <c r="E737" s="56">
        <f t="shared" si="23"/>
        <v>-1.0512962942120119E-2</v>
      </c>
    </row>
    <row r="738" spans="1:5" x14ac:dyDescent="0.3">
      <c r="A738" s="126">
        <v>45337</v>
      </c>
      <c r="B738" s="127">
        <v>21910.75</v>
      </c>
      <c r="C738" s="56">
        <f t="shared" si="22"/>
        <v>3.2371361888359207E-3</v>
      </c>
      <c r="D738" s="127">
        <v>5179.2490234375</v>
      </c>
      <c r="E738" s="56">
        <f t="shared" si="23"/>
        <v>1.3889396025194234E-2</v>
      </c>
    </row>
    <row r="739" spans="1:5" x14ac:dyDescent="0.3">
      <c r="A739" s="126">
        <v>45338</v>
      </c>
      <c r="B739" s="127">
        <v>22040.69921875</v>
      </c>
      <c r="C739" s="56">
        <f t="shared" si="22"/>
        <v>5.9308430222606567E-3</v>
      </c>
      <c r="D739" s="127">
        <v>5345.2138671875</v>
      </c>
      <c r="E739" s="56">
        <f t="shared" si="23"/>
        <v>3.2044190769542791E-2</v>
      </c>
    </row>
    <row r="740" spans="1:5" x14ac:dyDescent="0.3">
      <c r="A740" s="126">
        <v>45341</v>
      </c>
      <c r="B740" s="127">
        <v>22122.25</v>
      </c>
      <c r="C740" s="56">
        <f t="shared" si="22"/>
        <v>3.7000088082788096E-3</v>
      </c>
      <c r="D740" s="127">
        <v>5371.96630859375</v>
      </c>
      <c r="E740" s="56">
        <f t="shared" si="23"/>
        <v>5.00493377271094E-3</v>
      </c>
    </row>
    <row r="741" spans="1:5" x14ac:dyDescent="0.3">
      <c r="A741" s="126">
        <v>45342</v>
      </c>
      <c r="B741" s="127">
        <v>22196.94921875</v>
      </c>
      <c r="C741" s="56">
        <f t="shared" si="22"/>
        <v>3.3766555730090353E-3</v>
      </c>
      <c r="D741" s="127">
        <v>5304.2255859375</v>
      </c>
      <c r="E741" s="56">
        <f t="shared" si="23"/>
        <v>-1.2610042350392758E-2</v>
      </c>
    </row>
    <row r="742" spans="1:5" x14ac:dyDescent="0.3">
      <c r="A742" s="126">
        <v>45343</v>
      </c>
      <c r="B742" s="127">
        <v>22055.05078125</v>
      </c>
      <c r="C742" s="56">
        <f t="shared" si="22"/>
        <v>-6.392700010330099E-3</v>
      </c>
      <c r="D742" s="127">
        <v>5316.64501953125</v>
      </c>
      <c r="E742" s="56">
        <f t="shared" si="23"/>
        <v>2.3414225870552752E-3</v>
      </c>
    </row>
    <row r="743" spans="1:5" x14ac:dyDescent="0.3">
      <c r="A743" s="126">
        <v>45344</v>
      </c>
      <c r="B743" s="127">
        <v>22217.44921875</v>
      </c>
      <c r="C743" s="56">
        <f t="shared" si="22"/>
        <v>7.3633218581414805E-3</v>
      </c>
      <c r="D743" s="127">
        <v>5324.20458984375</v>
      </c>
      <c r="E743" s="56">
        <f t="shared" si="23"/>
        <v>1.4218685439273404E-3</v>
      </c>
    </row>
    <row r="744" spans="1:5" x14ac:dyDescent="0.3">
      <c r="A744" s="126">
        <v>45345</v>
      </c>
      <c r="B744" s="127">
        <v>22212.69921875</v>
      </c>
      <c r="C744" s="56">
        <f t="shared" si="22"/>
        <v>-2.137959201901074E-4</v>
      </c>
      <c r="D744" s="127">
        <v>5322.19189453125</v>
      </c>
      <c r="E744" s="56">
        <f t="shared" si="23"/>
        <v>-3.780274177178633E-4</v>
      </c>
    </row>
    <row r="745" spans="1:5" x14ac:dyDescent="0.3">
      <c r="A745" s="126">
        <v>45348</v>
      </c>
      <c r="B745" s="127">
        <v>22122.05078125</v>
      </c>
      <c r="C745" s="56">
        <f t="shared" si="22"/>
        <v>-4.0809285088362346E-3</v>
      </c>
      <c r="D745" s="127">
        <v>4969.4501953125</v>
      </c>
      <c r="E745" s="56">
        <f t="shared" si="23"/>
        <v>-6.6277523661107618E-2</v>
      </c>
    </row>
    <row r="746" spans="1:5" x14ac:dyDescent="0.3">
      <c r="A746" s="126">
        <v>45349</v>
      </c>
      <c r="B746" s="127">
        <v>22198.349609375</v>
      </c>
      <c r="C746" s="56">
        <f t="shared" si="22"/>
        <v>3.4489943486464281E-3</v>
      </c>
      <c r="D746" s="127">
        <v>4951.9755859375</v>
      </c>
      <c r="E746" s="56">
        <f t="shared" si="23"/>
        <v>-3.5164069843145462E-3</v>
      </c>
    </row>
    <row r="747" spans="1:5" x14ac:dyDescent="0.3">
      <c r="A747" s="126">
        <v>45350</v>
      </c>
      <c r="B747" s="127">
        <v>21951.150390625</v>
      </c>
      <c r="C747" s="56">
        <f t="shared" si="22"/>
        <v>-1.1135927809948543E-2</v>
      </c>
      <c r="D747" s="127">
        <v>4899.15771484375</v>
      </c>
      <c r="E747" s="56">
        <f t="shared" si="23"/>
        <v>-1.0666020091807615E-2</v>
      </c>
    </row>
    <row r="748" spans="1:5" x14ac:dyDescent="0.3">
      <c r="A748" s="126">
        <v>45351</v>
      </c>
      <c r="B748" s="127">
        <v>21982.80078125</v>
      </c>
      <c r="C748" s="56">
        <f t="shared" si="22"/>
        <v>1.4418556686905948E-3</v>
      </c>
      <c r="D748" s="127">
        <v>5033.7548828125</v>
      </c>
      <c r="E748" s="56">
        <f t="shared" si="23"/>
        <v>2.7473532350456908E-2</v>
      </c>
    </row>
    <row r="749" spans="1:5" x14ac:dyDescent="0.3">
      <c r="A749" s="126">
        <v>45352</v>
      </c>
      <c r="B749" s="127">
        <v>22338.75</v>
      </c>
      <c r="C749" s="56">
        <f t="shared" si="22"/>
        <v>1.6192168700068565E-2</v>
      </c>
      <c r="D749" s="127">
        <v>5019.568359375</v>
      </c>
      <c r="E749" s="56">
        <f t="shared" si="23"/>
        <v>-2.818278555028364E-3</v>
      </c>
    </row>
    <row r="750" spans="1:5" x14ac:dyDescent="0.3">
      <c r="A750" s="126">
        <v>45355</v>
      </c>
      <c r="B750" s="127">
        <v>22405.599609375</v>
      </c>
      <c r="C750" s="56">
        <f t="shared" si="22"/>
        <v>2.9925402887358565E-3</v>
      </c>
      <c r="D750" s="127">
        <v>5031.349609375</v>
      </c>
      <c r="E750" s="56">
        <f t="shared" si="23"/>
        <v>2.3470643602245822E-3</v>
      </c>
    </row>
    <row r="751" spans="1:5" x14ac:dyDescent="0.3">
      <c r="A751" s="126">
        <v>45356</v>
      </c>
      <c r="B751" s="127">
        <v>22356.30078125</v>
      </c>
      <c r="C751" s="56">
        <f t="shared" si="22"/>
        <v>-2.2002905070378498E-3</v>
      </c>
      <c r="D751" s="127">
        <v>5007.248046875</v>
      </c>
      <c r="E751" s="56">
        <f t="shared" si="23"/>
        <v>-4.7902778322324036E-3</v>
      </c>
    </row>
    <row r="752" spans="1:5" x14ac:dyDescent="0.3">
      <c r="A752" s="126">
        <v>45357</v>
      </c>
      <c r="B752" s="127">
        <v>22474.05078125</v>
      </c>
      <c r="C752" s="56">
        <f t="shared" si="22"/>
        <v>5.266971542034149E-3</v>
      </c>
      <c r="D752" s="127">
        <v>5117.30126953125</v>
      </c>
      <c r="E752" s="56">
        <f t="shared" si="23"/>
        <v>2.1978783880086228E-2</v>
      </c>
    </row>
    <row r="753" spans="1:5" x14ac:dyDescent="0.3">
      <c r="A753" s="126">
        <v>45358</v>
      </c>
      <c r="B753" s="127">
        <v>22493.55078125</v>
      </c>
      <c r="C753" s="56">
        <f t="shared" si="22"/>
        <v>8.6766734621201991E-4</v>
      </c>
      <c r="D753" s="127">
        <v>5050.3955078125</v>
      </c>
      <c r="E753" s="56">
        <f t="shared" si="23"/>
        <v>-1.3074423059105666E-2</v>
      </c>
    </row>
    <row r="754" spans="1:5" x14ac:dyDescent="0.3">
      <c r="A754" s="126">
        <v>45362</v>
      </c>
      <c r="B754" s="127">
        <v>22332.650390625</v>
      </c>
      <c r="C754" s="56">
        <f t="shared" si="22"/>
        <v>-7.1531788017711317E-3</v>
      </c>
      <c r="D754" s="127">
        <v>5063.10888671875</v>
      </c>
      <c r="E754" s="56">
        <f t="shared" si="23"/>
        <v>2.5173036223764544E-3</v>
      </c>
    </row>
    <row r="755" spans="1:5" x14ac:dyDescent="0.3">
      <c r="A755" s="126">
        <v>45363</v>
      </c>
      <c r="B755" s="127">
        <v>22335.69921875</v>
      </c>
      <c r="C755" s="56">
        <f t="shared" si="22"/>
        <v>1.3651886684606929E-4</v>
      </c>
      <c r="D755" s="127">
        <v>4964.4921875</v>
      </c>
      <c r="E755" s="56">
        <f t="shared" si="23"/>
        <v>-1.947749918581354E-2</v>
      </c>
    </row>
    <row r="756" spans="1:5" x14ac:dyDescent="0.3">
      <c r="A756" s="126">
        <v>45364</v>
      </c>
      <c r="B756" s="127">
        <v>21997.69921875</v>
      </c>
      <c r="C756" s="56">
        <f t="shared" si="22"/>
        <v>-1.5132725270416536E-2</v>
      </c>
      <c r="D756" s="127">
        <v>4855.3720703125</v>
      </c>
      <c r="E756" s="56">
        <f t="shared" si="23"/>
        <v>-2.1980116609358613E-2</v>
      </c>
    </row>
    <row r="757" spans="1:5" x14ac:dyDescent="0.3">
      <c r="A757" s="126">
        <v>45365</v>
      </c>
      <c r="B757" s="127">
        <v>22146.650390625</v>
      </c>
      <c r="C757" s="56">
        <f t="shared" si="22"/>
        <v>6.7712159528048321E-3</v>
      </c>
      <c r="D757" s="127">
        <v>4894.3466796875</v>
      </c>
      <c r="E757" s="56">
        <f t="shared" si="23"/>
        <v>8.0271107570324407E-3</v>
      </c>
    </row>
    <row r="758" spans="1:5" x14ac:dyDescent="0.3">
      <c r="A758" s="126">
        <v>45366</v>
      </c>
      <c r="B758" s="127">
        <v>22023.349609375</v>
      </c>
      <c r="C758" s="56">
        <f t="shared" si="22"/>
        <v>-5.5674686273187168E-3</v>
      </c>
      <c r="D758" s="127">
        <v>4953.1044921875</v>
      </c>
      <c r="E758" s="56">
        <f t="shared" si="23"/>
        <v>1.2005241219191998E-2</v>
      </c>
    </row>
    <row r="759" spans="1:5" x14ac:dyDescent="0.3">
      <c r="A759" s="126">
        <v>45369</v>
      </c>
      <c r="B759" s="127">
        <v>22055.69921875</v>
      </c>
      <c r="C759" s="56">
        <f t="shared" si="22"/>
        <v>1.4688778023679294E-3</v>
      </c>
      <c r="D759" s="127">
        <v>4884.82373046875</v>
      </c>
      <c r="E759" s="56">
        <f t="shared" si="23"/>
        <v>-1.3785447455519795E-2</v>
      </c>
    </row>
    <row r="760" spans="1:5" x14ac:dyDescent="0.3">
      <c r="A760" s="126">
        <v>45370</v>
      </c>
      <c r="B760" s="127">
        <v>21817.44921875</v>
      </c>
      <c r="C760" s="56">
        <f t="shared" si="22"/>
        <v>-1.0802196640288697E-2</v>
      </c>
      <c r="D760" s="127">
        <v>4782.86962890625</v>
      </c>
      <c r="E760" s="56">
        <f t="shared" si="23"/>
        <v>-2.0871602986729743E-2</v>
      </c>
    </row>
    <row r="761" spans="1:5" x14ac:dyDescent="0.3">
      <c r="A761" s="126">
        <v>45371</v>
      </c>
      <c r="B761" s="127">
        <v>21839.099609375</v>
      </c>
      <c r="C761" s="56">
        <f t="shared" si="22"/>
        <v>9.9234289068017567E-4</v>
      </c>
      <c r="D761" s="127">
        <v>4696.81982421875</v>
      </c>
      <c r="E761" s="56">
        <f t="shared" si="23"/>
        <v>-1.7991250308693418E-2</v>
      </c>
    </row>
    <row r="762" spans="1:5" x14ac:dyDescent="0.3">
      <c r="A762" s="126">
        <v>45372</v>
      </c>
      <c r="B762" s="127">
        <v>22011.94921875</v>
      </c>
      <c r="C762" s="56">
        <f t="shared" si="22"/>
        <v>7.9146856998077997E-3</v>
      </c>
      <c r="D762" s="127">
        <v>4708.404296875</v>
      </c>
      <c r="E762" s="56">
        <f t="shared" si="23"/>
        <v>2.4664502982456593E-3</v>
      </c>
    </row>
    <row r="763" spans="1:5" x14ac:dyDescent="0.3">
      <c r="A763" s="126">
        <v>45373</v>
      </c>
      <c r="B763" s="127">
        <v>22096.75</v>
      </c>
      <c r="C763" s="56">
        <f t="shared" si="22"/>
        <v>3.8524885010076115E-3</v>
      </c>
      <c r="D763" s="127">
        <v>4702.31787109375</v>
      </c>
      <c r="E763" s="56">
        <f t="shared" si="23"/>
        <v>-1.2926727182900333E-3</v>
      </c>
    </row>
    <row r="764" spans="1:5" x14ac:dyDescent="0.3">
      <c r="A764" s="126">
        <v>45377</v>
      </c>
      <c r="B764" s="127">
        <v>22004.69921875</v>
      </c>
      <c r="C764" s="56">
        <f t="shared" si="22"/>
        <v>-4.1658063402989498E-3</v>
      </c>
      <c r="D764" s="127">
        <v>4910.84033203125</v>
      </c>
      <c r="E764" s="56">
        <f t="shared" si="23"/>
        <v>4.4344611881586449E-2</v>
      </c>
    </row>
    <row r="765" spans="1:5" x14ac:dyDescent="0.3">
      <c r="A765" s="126">
        <v>45378</v>
      </c>
      <c r="B765" s="127">
        <v>22123.650390625</v>
      </c>
      <c r="C765" s="56">
        <f t="shared" si="22"/>
        <v>5.405716783151604E-3</v>
      </c>
      <c r="D765" s="127">
        <v>4912.85302734375</v>
      </c>
      <c r="E765" s="56">
        <f t="shared" si="23"/>
        <v>4.0984743473981844E-4</v>
      </c>
    </row>
    <row r="766" spans="1:5" x14ac:dyDescent="0.3">
      <c r="A766" s="126">
        <v>45379</v>
      </c>
      <c r="B766" s="127">
        <v>22326.900390625</v>
      </c>
      <c r="C766" s="56">
        <f t="shared" si="22"/>
        <v>9.1870010785439771E-3</v>
      </c>
      <c r="D766" s="127">
        <v>4851.7880859375</v>
      </c>
      <c r="E766" s="56">
        <f t="shared" si="23"/>
        <v>-1.2429629192320046E-2</v>
      </c>
    </row>
    <row r="767" spans="1:5" x14ac:dyDescent="0.3">
      <c r="A767" s="126">
        <v>45383</v>
      </c>
      <c r="B767" s="127">
        <v>22462</v>
      </c>
      <c r="C767" s="56">
        <f t="shared" si="22"/>
        <v>6.0509791780918309E-3</v>
      </c>
      <c r="D767" s="127">
        <v>4917.6142578125</v>
      </c>
      <c r="E767" s="56">
        <f t="shared" si="23"/>
        <v>1.3567404575189901E-2</v>
      </c>
    </row>
    <row r="768" spans="1:5" x14ac:dyDescent="0.3">
      <c r="A768" s="126">
        <v>45384</v>
      </c>
      <c r="B768" s="127">
        <v>22453.30078125</v>
      </c>
      <c r="C768" s="56">
        <f t="shared" si="22"/>
        <v>-3.8728602751314511E-4</v>
      </c>
      <c r="D768" s="127">
        <v>4864.89453125</v>
      </c>
      <c r="E768" s="56">
        <f t="shared" si="23"/>
        <v>-1.0720590066361058E-2</v>
      </c>
    </row>
    <row r="769" spans="1:5" x14ac:dyDescent="0.3">
      <c r="A769" s="126">
        <v>45385</v>
      </c>
      <c r="B769" s="127">
        <v>22434.650390625</v>
      </c>
      <c r="C769" s="56">
        <f t="shared" si="22"/>
        <v>-8.3063024036866828E-4</v>
      </c>
      <c r="D769" s="127">
        <v>4805.30224609375</v>
      </c>
      <c r="E769" s="56">
        <f t="shared" si="23"/>
        <v>-1.2249450583862509E-2</v>
      </c>
    </row>
    <row r="770" spans="1:5" x14ac:dyDescent="0.3">
      <c r="A770" s="126">
        <v>45386</v>
      </c>
      <c r="B770" s="127">
        <v>22514.650390625</v>
      </c>
      <c r="C770" s="56">
        <f t="shared" si="22"/>
        <v>3.5659124883635762E-3</v>
      </c>
      <c r="D770" s="127">
        <v>4777.27392578125</v>
      </c>
      <c r="E770" s="56">
        <f t="shared" si="23"/>
        <v>-5.8327902964447897E-3</v>
      </c>
    </row>
    <row r="771" spans="1:5" x14ac:dyDescent="0.3">
      <c r="A771" s="126">
        <v>45387</v>
      </c>
      <c r="B771" s="127">
        <v>22513.69921875</v>
      </c>
      <c r="C771" s="56">
        <f t="shared" si="22"/>
        <v>-4.2246797462897057E-5</v>
      </c>
      <c r="D771" s="127">
        <v>4822.97412109375</v>
      </c>
      <c r="E771" s="56">
        <f t="shared" si="23"/>
        <v>9.5661659813710553E-3</v>
      </c>
    </row>
    <row r="772" spans="1:5" x14ac:dyDescent="0.3">
      <c r="A772" s="126">
        <v>45390</v>
      </c>
      <c r="B772" s="127">
        <v>22666.30078125</v>
      </c>
      <c r="C772" s="56">
        <f t="shared" si="22"/>
        <v>6.7781647528144529E-3</v>
      </c>
      <c r="D772" s="127">
        <v>4799.11767578125</v>
      </c>
      <c r="E772" s="56">
        <f t="shared" si="23"/>
        <v>-4.9464178561857697E-3</v>
      </c>
    </row>
    <row r="773" spans="1:5" x14ac:dyDescent="0.3">
      <c r="A773" s="126">
        <v>45391</v>
      </c>
      <c r="B773" s="127">
        <v>22642.75</v>
      </c>
      <c r="C773" s="56">
        <f t="shared" si="22"/>
        <v>-1.0390218270411866E-3</v>
      </c>
      <c r="D773" s="127">
        <v>4793.47265625</v>
      </c>
      <c r="E773" s="56">
        <f t="shared" si="23"/>
        <v>-1.1762619532622587E-3</v>
      </c>
    </row>
    <row r="774" spans="1:5" x14ac:dyDescent="0.3">
      <c r="A774" s="126">
        <v>45392</v>
      </c>
      <c r="B774" s="127">
        <v>22753.80078125</v>
      </c>
      <c r="C774" s="56">
        <f t="shared" si="22"/>
        <v>4.9044741142307835E-3</v>
      </c>
      <c r="D774" s="127">
        <v>4736.43310546875</v>
      </c>
      <c r="E774" s="56">
        <f t="shared" si="23"/>
        <v>-1.1899421332231541E-2</v>
      </c>
    </row>
    <row r="775" spans="1:5" x14ac:dyDescent="0.3">
      <c r="A775" s="126">
        <v>45394</v>
      </c>
      <c r="B775" s="127">
        <v>22519.400390625</v>
      </c>
      <c r="C775" s="56">
        <f t="shared" ref="C775:C838" si="24">B775/B774-1</f>
        <v>-1.0301592814249916E-2</v>
      </c>
      <c r="D775" s="127">
        <v>4648.76318359375</v>
      </c>
      <c r="E775" s="56">
        <f t="shared" ref="E775:E838" si="25">D775/D774-1</f>
        <v>-1.850969282639614E-2</v>
      </c>
    </row>
    <row r="776" spans="1:5" x14ac:dyDescent="0.3">
      <c r="A776" s="126">
        <v>45397</v>
      </c>
      <c r="B776" s="127">
        <v>22272.5</v>
      </c>
      <c r="C776" s="56">
        <f t="shared" si="24"/>
        <v>-1.0963897188301042E-2</v>
      </c>
      <c r="D776" s="127">
        <v>4629.5703125</v>
      </c>
      <c r="E776" s="56">
        <f t="shared" si="25"/>
        <v>-4.128597292605618E-3</v>
      </c>
    </row>
    <row r="777" spans="1:5" x14ac:dyDescent="0.3">
      <c r="A777" s="126">
        <v>45398</v>
      </c>
      <c r="B777" s="127">
        <v>22147.900390625</v>
      </c>
      <c r="C777" s="56">
        <f t="shared" si="24"/>
        <v>-5.5943252609720329E-3</v>
      </c>
      <c r="D777" s="127">
        <v>4647.87939453125</v>
      </c>
      <c r="E777" s="56">
        <f t="shared" si="25"/>
        <v>3.9548123897836795E-3</v>
      </c>
    </row>
    <row r="778" spans="1:5" x14ac:dyDescent="0.3">
      <c r="A778" s="126">
        <v>45400</v>
      </c>
      <c r="B778" s="127">
        <v>21995.849609375</v>
      </c>
      <c r="C778" s="56">
        <f t="shared" si="24"/>
        <v>-6.8652458503182245E-3</v>
      </c>
      <c r="D778" s="127">
        <v>4565.953125</v>
      </c>
      <c r="E778" s="56">
        <f t="shared" si="25"/>
        <v>-1.7626591091766564E-2</v>
      </c>
    </row>
    <row r="779" spans="1:5" x14ac:dyDescent="0.3">
      <c r="A779" s="126">
        <v>45401</v>
      </c>
      <c r="B779" s="127">
        <v>22147</v>
      </c>
      <c r="C779" s="56">
        <f t="shared" si="24"/>
        <v>6.8717686886063944E-3</v>
      </c>
      <c r="D779" s="127">
        <v>4532.08251953125</v>
      </c>
      <c r="E779" s="56">
        <f t="shared" si="25"/>
        <v>-7.4180799805626529E-3</v>
      </c>
    </row>
    <row r="780" spans="1:5" x14ac:dyDescent="0.3">
      <c r="A780" s="126">
        <v>45404</v>
      </c>
      <c r="B780" s="127">
        <v>22336.400390625</v>
      </c>
      <c r="C780" s="56">
        <f t="shared" si="24"/>
        <v>8.5519659829773609E-3</v>
      </c>
      <c r="D780" s="127">
        <v>4659.07177734375</v>
      </c>
      <c r="E780" s="56">
        <f t="shared" si="25"/>
        <v>2.8020067433731199E-2</v>
      </c>
    </row>
    <row r="781" spans="1:5" x14ac:dyDescent="0.3">
      <c r="A781" s="126">
        <v>45405</v>
      </c>
      <c r="B781" s="127">
        <v>22368</v>
      </c>
      <c r="C781" s="56">
        <f t="shared" si="24"/>
        <v>1.4147135985376202E-3</v>
      </c>
      <c r="D781" s="127">
        <v>4618.525390625</v>
      </c>
      <c r="E781" s="56">
        <f t="shared" si="25"/>
        <v>-8.7026748366315632E-3</v>
      </c>
    </row>
    <row r="782" spans="1:5" x14ac:dyDescent="0.3">
      <c r="A782" s="126">
        <v>45406</v>
      </c>
      <c r="B782" s="127">
        <v>22402.400390625</v>
      </c>
      <c r="C782" s="56">
        <f t="shared" si="24"/>
        <v>1.5379287654238016E-3</v>
      </c>
      <c r="D782" s="127">
        <v>4634.7734375</v>
      </c>
      <c r="E782" s="56">
        <f t="shared" si="25"/>
        <v>3.5180161416847877E-3</v>
      </c>
    </row>
    <row r="783" spans="1:5" x14ac:dyDescent="0.3">
      <c r="A783" s="126">
        <v>45407</v>
      </c>
      <c r="B783" s="127">
        <v>22570.349609375</v>
      </c>
      <c r="C783" s="56">
        <f t="shared" si="24"/>
        <v>7.4969296067168845E-3</v>
      </c>
      <c r="D783" s="127">
        <v>4778.79541015625</v>
      </c>
      <c r="E783" s="56">
        <f t="shared" si="25"/>
        <v>3.1074220692421939E-2</v>
      </c>
    </row>
    <row r="784" spans="1:5" x14ac:dyDescent="0.3">
      <c r="A784" s="126">
        <v>45408</v>
      </c>
      <c r="B784" s="127">
        <v>22419.94921875</v>
      </c>
      <c r="C784" s="56">
        <f t="shared" si="24"/>
        <v>-6.6636269808832971E-3</v>
      </c>
      <c r="D784" s="127">
        <v>4820.7646484375</v>
      </c>
      <c r="E784" s="56">
        <f t="shared" si="25"/>
        <v>8.7823885894033893E-3</v>
      </c>
    </row>
    <row r="785" spans="1:5" x14ac:dyDescent="0.3">
      <c r="A785" s="126">
        <v>45411</v>
      </c>
      <c r="B785" s="127">
        <v>22643.400390625</v>
      </c>
      <c r="C785" s="56">
        <f t="shared" si="24"/>
        <v>9.9666225688024301E-3</v>
      </c>
      <c r="D785" s="127">
        <v>4794.35595703125</v>
      </c>
      <c r="E785" s="56">
        <f t="shared" si="25"/>
        <v>-5.4781125676420794E-3</v>
      </c>
    </row>
    <row r="786" spans="1:5" x14ac:dyDescent="0.3">
      <c r="A786" s="126">
        <v>45412</v>
      </c>
      <c r="B786" s="127">
        <v>22604.849609375</v>
      </c>
      <c r="C786" s="56">
        <f t="shared" si="24"/>
        <v>-1.70251731563964E-3</v>
      </c>
      <c r="D786" s="127">
        <v>4744.82666015625</v>
      </c>
      <c r="E786" s="56">
        <f t="shared" si="25"/>
        <v>-1.033075084931101E-2</v>
      </c>
    </row>
    <row r="787" spans="1:5" x14ac:dyDescent="0.3">
      <c r="A787" s="126">
        <v>45414</v>
      </c>
      <c r="B787" s="127">
        <v>22648.19921875</v>
      </c>
      <c r="C787" s="56">
        <f t="shared" si="24"/>
        <v>1.9177127972140884E-3</v>
      </c>
      <c r="D787" s="127">
        <v>4700.40234375</v>
      </c>
      <c r="E787" s="56">
        <f t="shared" si="25"/>
        <v>-9.362684790846898E-3</v>
      </c>
    </row>
    <row r="788" spans="1:5" x14ac:dyDescent="0.3">
      <c r="A788" s="126">
        <v>45415</v>
      </c>
      <c r="B788" s="127">
        <v>22475.849609375</v>
      </c>
      <c r="C788" s="56">
        <f t="shared" si="24"/>
        <v>-7.6098592965534451E-3</v>
      </c>
      <c r="D788" s="127">
        <v>4814.4814453125</v>
      </c>
      <c r="E788" s="56">
        <f t="shared" si="25"/>
        <v>2.4270071627844336E-2</v>
      </c>
    </row>
    <row r="789" spans="1:5" x14ac:dyDescent="0.3">
      <c r="A789" s="126">
        <v>45418</v>
      </c>
      <c r="B789" s="127">
        <v>22442.69921875</v>
      </c>
      <c r="C789" s="56">
        <f t="shared" si="24"/>
        <v>-1.4749338156797576E-3</v>
      </c>
      <c r="D789" s="127">
        <v>5054.9609375</v>
      </c>
      <c r="E789" s="56">
        <f t="shared" si="25"/>
        <v>4.9949199081790407E-2</v>
      </c>
    </row>
    <row r="790" spans="1:5" x14ac:dyDescent="0.3">
      <c r="A790" s="126">
        <v>45419</v>
      </c>
      <c r="B790" s="127">
        <v>22302.5</v>
      </c>
      <c r="C790" s="56">
        <f t="shared" si="24"/>
        <v>-6.246985595782073E-3</v>
      </c>
      <c r="D790" s="127">
        <v>5024.5263671875</v>
      </c>
      <c r="E790" s="56">
        <f t="shared" si="25"/>
        <v>-6.0207330360799727E-3</v>
      </c>
    </row>
    <row r="791" spans="1:5" x14ac:dyDescent="0.3">
      <c r="A791" s="126">
        <v>45420</v>
      </c>
      <c r="B791" s="127">
        <v>22302.5</v>
      </c>
      <c r="C791" s="56">
        <f t="shared" si="24"/>
        <v>0</v>
      </c>
      <c r="D791" s="127">
        <v>5069.6376953125</v>
      </c>
      <c r="E791" s="56">
        <f t="shared" si="25"/>
        <v>8.97822497650691E-3</v>
      </c>
    </row>
    <row r="792" spans="1:5" x14ac:dyDescent="0.3">
      <c r="A792" s="126">
        <v>45421</v>
      </c>
      <c r="B792" s="127">
        <v>21957.5</v>
      </c>
      <c r="C792" s="56">
        <f t="shared" si="24"/>
        <v>-1.546911781190452E-2</v>
      </c>
      <c r="D792" s="127">
        <v>4975.095703125</v>
      </c>
      <c r="E792" s="56">
        <f t="shared" si="25"/>
        <v>-1.864866838017154E-2</v>
      </c>
    </row>
    <row r="793" spans="1:5" x14ac:dyDescent="0.3">
      <c r="A793" s="126">
        <v>45422</v>
      </c>
      <c r="B793" s="127">
        <v>22055.19921875</v>
      </c>
      <c r="C793" s="56">
        <f t="shared" si="24"/>
        <v>4.4494691449390444E-3</v>
      </c>
      <c r="D793" s="127">
        <v>5035.2763671875</v>
      </c>
      <c r="E793" s="56">
        <f t="shared" si="25"/>
        <v>1.2096383196146032E-2</v>
      </c>
    </row>
    <row r="794" spans="1:5" x14ac:dyDescent="0.3">
      <c r="A794" s="126">
        <v>45425</v>
      </c>
      <c r="B794" s="127">
        <v>22104.05078125</v>
      </c>
      <c r="C794" s="56">
        <f t="shared" si="24"/>
        <v>2.2149680905385605E-3</v>
      </c>
      <c r="D794" s="127">
        <v>5115.33837890625</v>
      </c>
      <c r="E794" s="56">
        <f t="shared" si="25"/>
        <v>1.5900221930314595E-2</v>
      </c>
    </row>
    <row r="795" spans="1:5" x14ac:dyDescent="0.3">
      <c r="A795" s="126">
        <v>45426</v>
      </c>
      <c r="B795" s="127">
        <v>22217.849609375</v>
      </c>
      <c r="C795" s="56">
        <f t="shared" si="24"/>
        <v>5.1483245877055328E-3</v>
      </c>
      <c r="D795" s="127">
        <v>5088.58544921875</v>
      </c>
      <c r="E795" s="56">
        <f t="shared" si="25"/>
        <v>-5.2299433010764007E-3</v>
      </c>
    </row>
    <row r="796" spans="1:5" x14ac:dyDescent="0.3">
      <c r="A796" s="126">
        <v>45427</v>
      </c>
      <c r="B796" s="127">
        <v>22200.55078125</v>
      </c>
      <c r="C796" s="56">
        <f t="shared" si="24"/>
        <v>-7.7860046895361634E-4</v>
      </c>
      <c r="D796" s="127">
        <v>5151.171875</v>
      </c>
      <c r="E796" s="56">
        <f t="shared" si="25"/>
        <v>1.2299376006520424E-2</v>
      </c>
    </row>
    <row r="797" spans="1:5" x14ac:dyDescent="0.3">
      <c r="A797" s="126">
        <v>45428</v>
      </c>
      <c r="B797" s="127">
        <v>22403.849609375</v>
      </c>
      <c r="C797" s="56">
        <f t="shared" si="24"/>
        <v>9.1573776762647885E-3</v>
      </c>
      <c r="D797" s="127">
        <v>5220.9736328125</v>
      </c>
      <c r="E797" s="56">
        <f t="shared" si="25"/>
        <v>1.3550655949040813E-2</v>
      </c>
    </row>
    <row r="798" spans="1:5" x14ac:dyDescent="0.3">
      <c r="A798" s="126">
        <v>45429</v>
      </c>
      <c r="B798" s="127">
        <v>22466.099609375</v>
      </c>
      <c r="C798" s="56">
        <f t="shared" si="24"/>
        <v>2.7785403439750667E-3</v>
      </c>
      <c r="D798" s="127">
        <v>5338.439453125</v>
      </c>
      <c r="E798" s="56">
        <f t="shared" si="25"/>
        <v>2.2498834235487708E-2</v>
      </c>
    </row>
    <row r="799" spans="1:5" x14ac:dyDescent="0.3">
      <c r="A799" s="126">
        <v>45433</v>
      </c>
      <c r="B799" s="127">
        <v>22529.05078125</v>
      </c>
      <c r="C799" s="56">
        <f t="shared" si="24"/>
        <v>2.8020516676037222E-3</v>
      </c>
      <c r="D799" s="127">
        <v>5235.7978515625</v>
      </c>
      <c r="E799" s="56">
        <f t="shared" si="25"/>
        <v>-1.922689251489329E-2</v>
      </c>
    </row>
    <row r="800" spans="1:5" x14ac:dyDescent="0.3">
      <c r="A800" s="126">
        <v>45434</v>
      </c>
      <c r="B800" s="127">
        <v>22597.80078125</v>
      </c>
      <c r="C800" s="56">
        <f t="shared" si="24"/>
        <v>3.0516154749500313E-3</v>
      </c>
      <c r="D800" s="127">
        <v>5207.42578125</v>
      </c>
      <c r="E800" s="56">
        <f t="shared" si="25"/>
        <v>-5.4188628203116762E-3</v>
      </c>
    </row>
    <row r="801" spans="1:5" x14ac:dyDescent="0.3">
      <c r="A801" s="126">
        <v>45435</v>
      </c>
      <c r="B801" s="127">
        <v>22967.650390625</v>
      </c>
      <c r="C801" s="56">
        <f t="shared" si="24"/>
        <v>1.6366619608483068E-2</v>
      </c>
      <c r="D801" s="127">
        <v>5356.6513671875</v>
      </c>
      <c r="E801" s="56">
        <f t="shared" si="25"/>
        <v>2.8656305861296305E-2</v>
      </c>
    </row>
    <row r="802" spans="1:5" x14ac:dyDescent="0.3">
      <c r="A802" s="126">
        <v>45436</v>
      </c>
      <c r="B802" s="127">
        <v>22957.099609375</v>
      </c>
      <c r="C802" s="56">
        <f t="shared" si="24"/>
        <v>-4.5937573371923612E-4</v>
      </c>
      <c r="D802" s="127">
        <v>5352.134765625</v>
      </c>
      <c r="E802" s="56">
        <f t="shared" si="25"/>
        <v>-8.4317631536867665E-4</v>
      </c>
    </row>
    <row r="803" spans="1:5" x14ac:dyDescent="0.3">
      <c r="A803" s="126">
        <v>45439</v>
      </c>
      <c r="B803" s="127">
        <v>22932.44921875</v>
      </c>
      <c r="C803" s="56">
        <f t="shared" si="24"/>
        <v>-1.0737589261899938E-3</v>
      </c>
      <c r="D803" s="127">
        <v>5239.87158203125</v>
      </c>
      <c r="E803" s="56">
        <f t="shared" si="25"/>
        <v>-2.0975402995227155E-2</v>
      </c>
    </row>
    <row r="804" spans="1:5" x14ac:dyDescent="0.3">
      <c r="A804" s="126">
        <v>45440</v>
      </c>
      <c r="B804" s="127">
        <v>22888.150390625</v>
      </c>
      <c r="C804" s="56">
        <f t="shared" si="24"/>
        <v>-1.9317094176221072E-3</v>
      </c>
      <c r="D804" s="127">
        <v>5216.8505859375</v>
      </c>
      <c r="E804" s="56">
        <f t="shared" si="25"/>
        <v>-4.3934275360286712E-3</v>
      </c>
    </row>
    <row r="805" spans="1:5" x14ac:dyDescent="0.3">
      <c r="A805" s="126">
        <v>45441</v>
      </c>
      <c r="B805" s="127">
        <v>22704.69921875</v>
      </c>
      <c r="C805" s="56">
        <f t="shared" si="24"/>
        <v>-8.0151156272610935E-3</v>
      </c>
      <c r="D805" s="127">
        <v>5166.38916015625</v>
      </c>
      <c r="E805" s="56">
        <f t="shared" si="25"/>
        <v>-9.672775738924444E-3</v>
      </c>
    </row>
    <row r="806" spans="1:5" x14ac:dyDescent="0.3">
      <c r="A806" s="126">
        <v>45442</v>
      </c>
      <c r="B806" s="127">
        <v>22488.650390625</v>
      </c>
      <c r="C806" s="56">
        <f t="shared" si="24"/>
        <v>-9.5155996581792746E-3</v>
      </c>
      <c r="D806" s="127">
        <v>4856.50048828125</v>
      </c>
      <c r="E806" s="56">
        <f t="shared" si="25"/>
        <v>-5.998167429292689E-2</v>
      </c>
    </row>
    <row r="807" spans="1:5" x14ac:dyDescent="0.3">
      <c r="A807" s="126">
        <v>45443</v>
      </c>
      <c r="B807" s="127">
        <v>22530.69921875</v>
      </c>
      <c r="C807" s="56">
        <f t="shared" si="24"/>
        <v>1.8697799732139142E-3</v>
      </c>
      <c r="D807" s="127">
        <v>4722.63916015625</v>
      </c>
      <c r="E807" s="56">
        <f t="shared" si="25"/>
        <v>-2.7563330519168594E-2</v>
      </c>
    </row>
    <row r="808" spans="1:5" x14ac:dyDescent="0.3">
      <c r="A808" s="126">
        <v>45446</v>
      </c>
      <c r="B808" s="127">
        <v>23263.900390625</v>
      </c>
      <c r="C808" s="56">
        <f t="shared" si="24"/>
        <v>3.2542317695352763E-2</v>
      </c>
      <c r="D808" s="127">
        <v>4734.07666015625</v>
      </c>
      <c r="E808" s="56">
        <f t="shared" si="25"/>
        <v>2.4218449922017715E-3</v>
      </c>
    </row>
    <row r="809" spans="1:5" x14ac:dyDescent="0.3">
      <c r="A809" s="126">
        <v>45447</v>
      </c>
      <c r="B809" s="127">
        <v>21884.5</v>
      </c>
      <c r="C809" s="56">
        <f t="shared" si="24"/>
        <v>-5.9293599416410769E-2</v>
      </c>
      <c r="D809" s="127">
        <v>4622.501953125</v>
      </c>
      <c r="E809" s="56">
        <f t="shared" si="25"/>
        <v>-2.3568419998413637E-2</v>
      </c>
    </row>
    <row r="810" spans="1:5" x14ac:dyDescent="0.3">
      <c r="A810" s="126">
        <v>45448</v>
      </c>
      <c r="B810" s="127">
        <v>22620.349609375</v>
      </c>
      <c r="C810" s="56">
        <f t="shared" si="24"/>
        <v>3.3624236760035675E-2</v>
      </c>
      <c r="D810" s="127">
        <v>4737.07080078125</v>
      </c>
      <c r="E810" s="56">
        <f t="shared" si="25"/>
        <v>2.4785029583123563E-2</v>
      </c>
    </row>
    <row r="811" spans="1:5" x14ac:dyDescent="0.3">
      <c r="A811" s="126">
        <v>45449</v>
      </c>
      <c r="B811" s="127">
        <v>22821.400390625</v>
      </c>
      <c r="C811" s="56">
        <f t="shared" si="24"/>
        <v>8.8880492442378056E-3</v>
      </c>
      <c r="D811" s="127">
        <v>4765.98388671875</v>
      </c>
      <c r="E811" s="56">
        <f t="shared" si="25"/>
        <v>6.1035790161150238E-3</v>
      </c>
    </row>
    <row r="812" spans="1:5" x14ac:dyDescent="0.3">
      <c r="A812" s="126">
        <v>45450</v>
      </c>
      <c r="B812" s="127">
        <v>23290.150390625</v>
      </c>
      <c r="C812" s="56">
        <f t="shared" si="24"/>
        <v>2.0539931466807104E-2</v>
      </c>
      <c r="D812" s="127">
        <v>4865.63134765625</v>
      </c>
      <c r="E812" s="56">
        <f t="shared" si="25"/>
        <v>2.0908056616637971E-2</v>
      </c>
    </row>
    <row r="813" spans="1:5" x14ac:dyDescent="0.3">
      <c r="A813" s="126">
        <v>45453</v>
      </c>
      <c r="B813" s="127">
        <v>23259.19921875</v>
      </c>
      <c r="C813" s="56">
        <f t="shared" si="24"/>
        <v>-1.3289382574128705E-3</v>
      </c>
      <c r="D813" s="127">
        <v>4939.31103515625</v>
      </c>
      <c r="E813" s="56">
        <f t="shared" si="25"/>
        <v>1.514288326333868E-2</v>
      </c>
    </row>
    <row r="814" spans="1:5" x14ac:dyDescent="0.3">
      <c r="A814" s="126">
        <v>45454</v>
      </c>
      <c r="B814" s="127">
        <v>23264.849609375</v>
      </c>
      <c r="C814" s="56">
        <f t="shared" si="24"/>
        <v>2.4293143421916241E-4</v>
      </c>
      <c r="D814" s="127">
        <v>4974.359375</v>
      </c>
      <c r="E814" s="56">
        <f t="shared" si="25"/>
        <v>7.0957952625960719E-3</v>
      </c>
    </row>
    <row r="815" spans="1:5" x14ac:dyDescent="0.3">
      <c r="A815" s="126">
        <v>45455</v>
      </c>
      <c r="B815" s="127">
        <v>23322.94921875</v>
      </c>
      <c r="C815" s="56">
        <f t="shared" si="24"/>
        <v>2.4973129141392381E-3</v>
      </c>
      <c r="D815" s="127">
        <v>4985.40380859375</v>
      </c>
      <c r="E815" s="56">
        <f t="shared" si="25"/>
        <v>2.2202725539406387E-3</v>
      </c>
    </row>
    <row r="816" spans="1:5" x14ac:dyDescent="0.3">
      <c r="A816" s="126">
        <v>45456</v>
      </c>
      <c r="B816" s="127">
        <v>23398.900390625</v>
      </c>
      <c r="C816" s="56">
        <f t="shared" si="24"/>
        <v>3.2564994745150067E-3</v>
      </c>
      <c r="D816" s="127">
        <v>4996.79248046875</v>
      </c>
      <c r="E816" s="56">
        <f t="shared" si="25"/>
        <v>2.2844030919557667E-3</v>
      </c>
    </row>
    <row r="817" spans="1:5" x14ac:dyDescent="0.3">
      <c r="A817" s="126">
        <v>45457</v>
      </c>
      <c r="B817" s="127">
        <v>23465.599609375</v>
      </c>
      <c r="C817" s="56">
        <f t="shared" si="24"/>
        <v>2.8505279152657437E-3</v>
      </c>
      <c r="D817" s="127">
        <v>5008.81884765625</v>
      </c>
      <c r="E817" s="56">
        <f t="shared" si="25"/>
        <v>2.4068174202767079E-3</v>
      </c>
    </row>
    <row r="818" spans="1:5" x14ac:dyDescent="0.3">
      <c r="A818" s="126">
        <v>45461</v>
      </c>
      <c r="B818" s="127">
        <v>23557.900390625</v>
      </c>
      <c r="C818" s="56">
        <f t="shared" si="24"/>
        <v>3.9334507869606128E-3</v>
      </c>
      <c r="D818" s="127">
        <v>5122.798828125</v>
      </c>
      <c r="E818" s="56">
        <f t="shared" si="25"/>
        <v>2.2755860001222539E-2</v>
      </c>
    </row>
    <row r="819" spans="1:5" x14ac:dyDescent="0.3">
      <c r="A819" s="126">
        <v>45462</v>
      </c>
      <c r="B819" s="127">
        <v>23516</v>
      </c>
      <c r="C819" s="56">
        <f t="shared" si="24"/>
        <v>-1.7786131162043084E-3</v>
      </c>
      <c r="D819" s="127">
        <v>5090.20556640625</v>
      </c>
      <c r="E819" s="56">
        <f t="shared" si="25"/>
        <v>-6.3623934517607061E-3</v>
      </c>
    </row>
    <row r="820" spans="1:5" x14ac:dyDescent="0.3">
      <c r="A820" s="126">
        <v>45463</v>
      </c>
      <c r="B820" s="127">
        <v>23567</v>
      </c>
      <c r="C820" s="56">
        <f t="shared" si="24"/>
        <v>2.1687361796223215E-3</v>
      </c>
      <c r="D820" s="127">
        <v>5064.189453125</v>
      </c>
      <c r="E820" s="56">
        <f t="shared" si="25"/>
        <v>-5.1110142688437499E-3</v>
      </c>
    </row>
    <row r="821" spans="1:5" x14ac:dyDescent="0.3">
      <c r="A821" s="126">
        <v>45464</v>
      </c>
      <c r="B821" s="127">
        <v>23501.099609375</v>
      </c>
      <c r="C821" s="56">
        <f t="shared" si="24"/>
        <v>-2.7962995130903501E-3</v>
      </c>
      <c r="D821" s="127">
        <v>5035.6201171875</v>
      </c>
      <c r="E821" s="56">
        <f t="shared" si="25"/>
        <v>-5.6414429598147242E-3</v>
      </c>
    </row>
    <row r="822" spans="1:5" x14ac:dyDescent="0.3">
      <c r="A822" s="126">
        <v>45467</v>
      </c>
      <c r="B822" s="127">
        <v>23537.849609375</v>
      </c>
      <c r="C822" s="56">
        <f t="shared" si="24"/>
        <v>1.5637566161090799E-3</v>
      </c>
      <c r="D822" s="127">
        <v>4914.375</v>
      </c>
      <c r="E822" s="56">
        <f t="shared" si="25"/>
        <v>-2.4077494800226917E-2</v>
      </c>
    </row>
    <row r="823" spans="1:5" x14ac:dyDescent="0.3">
      <c r="A823" s="126">
        <v>45468</v>
      </c>
      <c r="B823" s="127">
        <v>23721.30078125</v>
      </c>
      <c r="C823" s="56">
        <f t="shared" si="24"/>
        <v>7.7938798539154419E-3</v>
      </c>
      <c r="D823" s="127">
        <v>4999.73779296875</v>
      </c>
      <c r="E823" s="56">
        <f t="shared" si="25"/>
        <v>1.7370020189495072E-2</v>
      </c>
    </row>
    <row r="824" spans="1:5" x14ac:dyDescent="0.3">
      <c r="A824" s="126">
        <v>45469</v>
      </c>
      <c r="B824" s="127">
        <v>23868.80078125</v>
      </c>
      <c r="C824" s="56">
        <f t="shared" si="24"/>
        <v>6.2180401218379089E-3</v>
      </c>
      <c r="D824" s="127">
        <v>4882.8115234375</v>
      </c>
      <c r="E824" s="56">
        <f t="shared" si="25"/>
        <v>-2.3386480326165526E-2</v>
      </c>
    </row>
    <row r="825" spans="1:5" x14ac:dyDescent="0.3">
      <c r="A825" s="126">
        <v>45470</v>
      </c>
      <c r="B825" s="127">
        <v>24044.5</v>
      </c>
      <c r="C825" s="56">
        <f t="shared" si="24"/>
        <v>7.361040898544724E-3</v>
      </c>
      <c r="D825" s="127">
        <v>4833.724609375</v>
      </c>
      <c r="E825" s="56">
        <f t="shared" si="25"/>
        <v>-1.0053002010600443E-2</v>
      </c>
    </row>
    <row r="826" spans="1:5" x14ac:dyDescent="0.3">
      <c r="A826" s="126">
        <v>45471</v>
      </c>
      <c r="B826" s="127">
        <v>24010.599609375</v>
      </c>
      <c r="C826" s="56">
        <f t="shared" si="24"/>
        <v>-1.4099020825968367E-3</v>
      </c>
      <c r="D826" s="127">
        <v>4900.2373046875</v>
      </c>
      <c r="E826" s="56">
        <f t="shared" si="25"/>
        <v>1.3760133372823669E-2</v>
      </c>
    </row>
    <row r="827" spans="1:5" x14ac:dyDescent="0.3">
      <c r="A827" s="126">
        <v>45474</v>
      </c>
      <c r="B827" s="127">
        <v>24141.94921875</v>
      </c>
      <c r="C827" s="56">
        <f t="shared" si="24"/>
        <v>5.4704843490753774E-3</v>
      </c>
      <c r="D827" s="127">
        <v>4868.08544921875</v>
      </c>
      <c r="E827" s="56">
        <f t="shared" si="25"/>
        <v>-6.5612853969324592E-3</v>
      </c>
    </row>
    <row r="828" spans="1:5" x14ac:dyDescent="0.3">
      <c r="A828" s="126">
        <v>45475</v>
      </c>
      <c r="B828" s="127">
        <v>24123.849609375</v>
      </c>
      <c r="C828" s="56">
        <f t="shared" si="24"/>
        <v>-7.4971615634678024E-4</v>
      </c>
      <c r="D828" s="127">
        <v>4829.9443359375</v>
      </c>
      <c r="E828" s="56">
        <f t="shared" si="25"/>
        <v>-7.8349309351936069E-3</v>
      </c>
    </row>
    <row r="829" spans="1:5" x14ac:dyDescent="0.3">
      <c r="A829" s="126">
        <v>45476</v>
      </c>
      <c r="B829" s="127">
        <v>24286.5</v>
      </c>
      <c r="C829" s="56">
        <f t="shared" si="24"/>
        <v>6.7423066077227922E-3</v>
      </c>
      <c r="D829" s="127">
        <v>4880.013671875</v>
      </c>
      <c r="E829" s="56">
        <f t="shared" si="25"/>
        <v>1.0366441609886978E-2</v>
      </c>
    </row>
    <row r="830" spans="1:5" x14ac:dyDescent="0.3">
      <c r="A830" s="126">
        <v>45477</v>
      </c>
      <c r="B830" s="127">
        <v>24302.150390625</v>
      </c>
      <c r="C830" s="56">
        <f t="shared" si="24"/>
        <v>6.4440700080292679E-4</v>
      </c>
      <c r="D830" s="127">
        <v>4890.419921875</v>
      </c>
      <c r="E830" s="56">
        <f t="shared" si="25"/>
        <v>2.1324223044649759E-3</v>
      </c>
    </row>
    <row r="831" spans="1:5" x14ac:dyDescent="0.3">
      <c r="A831" s="126">
        <v>45478</v>
      </c>
      <c r="B831" s="127">
        <v>24323.849609375</v>
      </c>
      <c r="C831" s="56">
        <f t="shared" si="24"/>
        <v>8.9289294985062106E-4</v>
      </c>
      <c r="D831" s="127">
        <v>4971.119140625</v>
      </c>
      <c r="E831" s="56">
        <f t="shared" si="25"/>
        <v>1.6501490677524489E-2</v>
      </c>
    </row>
    <row r="832" spans="1:5" x14ac:dyDescent="0.3">
      <c r="A832" s="126">
        <v>45481</v>
      </c>
      <c r="B832" s="127">
        <v>24320.55078125</v>
      </c>
      <c r="C832" s="56">
        <f t="shared" si="24"/>
        <v>-1.3562113637344275E-4</v>
      </c>
      <c r="D832" s="127">
        <v>5126.529296875</v>
      </c>
      <c r="E832" s="56">
        <f t="shared" si="25"/>
        <v>3.1262609455475765E-2</v>
      </c>
    </row>
    <row r="833" spans="1:5" x14ac:dyDescent="0.3">
      <c r="A833" s="126">
        <v>45482</v>
      </c>
      <c r="B833" s="127">
        <v>24433.19921875</v>
      </c>
      <c r="C833" s="56">
        <f t="shared" si="24"/>
        <v>4.6318209860134463E-3</v>
      </c>
      <c r="D833" s="127">
        <v>5226.96240234375</v>
      </c>
      <c r="E833" s="56">
        <f t="shared" si="25"/>
        <v>1.9590857606133438E-2</v>
      </c>
    </row>
    <row r="834" spans="1:5" x14ac:dyDescent="0.3">
      <c r="A834" s="126">
        <v>45483</v>
      </c>
      <c r="B834" s="127">
        <v>24324.44921875</v>
      </c>
      <c r="C834" s="56">
        <f t="shared" si="24"/>
        <v>-4.4509111977667493E-3</v>
      </c>
      <c r="D834" s="127">
        <v>5130.4072265625</v>
      </c>
      <c r="E834" s="56">
        <f t="shared" si="25"/>
        <v>-1.84725215811683E-2</v>
      </c>
    </row>
    <row r="835" spans="1:5" x14ac:dyDescent="0.3">
      <c r="A835" s="126">
        <v>45484</v>
      </c>
      <c r="B835" s="127">
        <v>24315.94921875</v>
      </c>
      <c r="C835" s="56">
        <f t="shared" si="24"/>
        <v>-3.4944265021419341E-4</v>
      </c>
      <c r="D835" s="127">
        <v>5104.39111328125</v>
      </c>
      <c r="E835" s="56">
        <f t="shared" si="25"/>
        <v>-5.0709645711070062E-3</v>
      </c>
    </row>
    <row r="836" spans="1:5" x14ac:dyDescent="0.3">
      <c r="A836" s="126">
        <v>45485</v>
      </c>
      <c r="B836" s="127">
        <v>24502.150390625</v>
      </c>
      <c r="C836" s="56">
        <f t="shared" si="24"/>
        <v>7.6575736443560416E-3</v>
      </c>
      <c r="D836" s="127">
        <v>5103.8515625</v>
      </c>
      <c r="E836" s="56">
        <f t="shared" si="25"/>
        <v>-1.0570326005121533E-4</v>
      </c>
    </row>
    <row r="837" spans="1:5" x14ac:dyDescent="0.3">
      <c r="A837" s="126">
        <v>45488</v>
      </c>
      <c r="B837" s="127">
        <v>24586.69921875</v>
      </c>
      <c r="C837" s="56">
        <f t="shared" si="24"/>
        <v>3.4506697076412962E-3</v>
      </c>
      <c r="D837" s="127">
        <v>5285.42529296875</v>
      </c>
      <c r="E837" s="56">
        <f t="shared" si="25"/>
        <v>3.5575825089201984E-2</v>
      </c>
    </row>
    <row r="838" spans="1:5" x14ac:dyDescent="0.3">
      <c r="A838" s="126">
        <v>45489</v>
      </c>
      <c r="B838" s="127">
        <v>24613</v>
      </c>
      <c r="C838" s="56">
        <f t="shared" si="24"/>
        <v>1.0697158254551198E-3</v>
      </c>
      <c r="D838" s="127">
        <v>5200.111328125</v>
      </c>
      <c r="E838" s="56">
        <f t="shared" si="25"/>
        <v>-1.6141362353043531E-2</v>
      </c>
    </row>
    <row r="839" spans="1:5" x14ac:dyDescent="0.3">
      <c r="A839" s="126">
        <v>45491</v>
      </c>
      <c r="B839" s="127">
        <v>24800.849609375</v>
      </c>
      <c r="C839" s="56">
        <f t="shared" ref="C839:C902" si="26">B839/B838-1</f>
        <v>7.6321297434283064E-3</v>
      </c>
      <c r="D839" s="127">
        <v>5176.50048828125</v>
      </c>
      <c r="E839" s="56">
        <f t="shared" ref="E839:E902" si="27">D839/D838-1</f>
        <v>-4.5404489161703365E-3</v>
      </c>
    </row>
    <row r="840" spans="1:5" x14ac:dyDescent="0.3">
      <c r="A840" s="126">
        <v>45492</v>
      </c>
      <c r="B840" s="127">
        <v>24530.900390625</v>
      </c>
      <c r="C840" s="56">
        <f t="shared" si="26"/>
        <v>-1.0884676251089243E-2</v>
      </c>
      <c r="D840" s="127">
        <v>5039.939453125</v>
      </c>
      <c r="E840" s="56">
        <f t="shared" si="27"/>
        <v>-2.638095668403817E-2</v>
      </c>
    </row>
    <row r="841" spans="1:5" x14ac:dyDescent="0.3">
      <c r="A841" s="126">
        <v>45495</v>
      </c>
      <c r="B841" s="127">
        <v>24509.25</v>
      </c>
      <c r="C841" s="56">
        <f t="shared" si="26"/>
        <v>-8.8257627238474967E-4</v>
      </c>
      <c r="D841" s="127">
        <v>5121.4736328125</v>
      </c>
      <c r="E841" s="56">
        <f t="shared" si="27"/>
        <v>1.6177610950652399E-2</v>
      </c>
    </row>
    <row r="842" spans="1:5" x14ac:dyDescent="0.3">
      <c r="A842" s="126">
        <v>45496</v>
      </c>
      <c r="B842" s="127">
        <v>24479.05078125</v>
      </c>
      <c r="C842" s="56">
        <f t="shared" si="26"/>
        <v>-1.2321559717249908E-3</v>
      </c>
      <c r="D842" s="127">
        <v>5086.08203125</v>
      </c>
      <c r="E842" s="56">
        <f t="shared" si="27"/>
        <v>-6.9104332268258295E-3</v>
      </c>
    </row>
    <row r="843" spans="1:5" x14ac:dyDescent="0.3">
      <c r="A843" s="126">
        <v>45497</v>
      </c>
      <c r="B843" s="127">
        <v>24413.5</v>
      </c>
      <c r="C843" s="56">
        <f t="shared" si="26"/>
        <v>-2.6778318259059741E-3</v>
      </c>
      <c r="D843" s="127">
        <v>5098.353515625</v>
      </c>
      <c r="E843" s="56">
        <f t="shared" si="27"/>
        <v>2.4127578555754869E-3</v>
      </c>
    </row>
    <row r="844" spans="1:5" x14ac:dyDescent="0.3">
      <c r="A844" s="126">
        <v>45498</v>
      </c>
      <c r="B844" s="127">
        <v>24406.099609375</v>
      </c>
      <c r="C844" s="56">
        <f t="shared" si="26"/>
        <v>-3.0312698404566518E-4</v>
      </c>
      <c r="D844" s="127">
        <v>5087.75048828125</v>
      </c>
      <c r="E844" s="56">
        <f t="shared" si="27"/>
        <v>-2.0796963786945399E-3</v>
      </c>
    </row>
    <row r="845" spans="1:5" x14ac:dyDescent="0.3">
      <c r="A845" s="126">
        <v>45499</v>
      </c>
      <c r="B845" s="127">
        <v>24834.849609375</v>
      </c>
      <c r="C845" s="56">
        <f t="shared" si="26"/>
        <v>1.756732976027453E-2</v>
      </c>
      <c r="D845" s="127">
        <v>5193.2880859375</v>
      </c>
      <c r="E845" s="56">
        <f t="shared" si="27"/>
        <v>2.0743469613798471E-2</v>
      </c>
    </row>
    <row r="846" spans="1:5" x14ac:dyDescent="0.3">
      <c r="A846" s="126">
        <v>45502</v>
      </c>
      <c r="B846" s="127">
        <v>24836.099609375</v>
      </c>
      <c r="C846" s="56">
        <f t="shared" si="26"/>
        <v>5.0332497263383402E-5</v>
      </c>
      <c r="D846" s="127">
        <v>5107.0908203125</v>
      </c>
      <c r="E846" s="56">
        <f t="shared" si="27"/>
        <v>-1.6597820917812478E-2</v>
      </c>
    </row>
    <row r="847" spans="1:5" x14ac:dyDescent="0.3">
      <c r="A847" s="126">
        <v>45503</v>
      </c>
      <c r="B847" s="127">
        <v>24857.30078125</v>
      </c>
      <c r="C847" s="56">
        <f t="shared" si="26"/>
        <v>8.5364337430005044E-4</v>
      </c>
      <c r="D847" s="127">
        <v>5130.99609375</v>
      </c>
      <c r="E847" s="56">
        <f t="shared" si="27"/>
        <v>4.6808005337248826E-3</v>
      </c>
    </row>
    <row r="848" spans="1:5" x14ac:dyDescent="0.3">
      <c r="A848" s="126">
        <v>45504</v>
      </c>
      <c r="B848" s="127">
        <v>24951.150390625</v>
      </c>
      <c r="C848" s="56">
        <f t="shared" si="26"/>
        <v>3.7755350108565899E-3</v>
      </c>
      <c r="D848" s="127">
        <v>5212.57958984375</v>
      </c>
      <c r="E848" s="56">
        <f t="shared" si="27"/>
        <v>1.590012827979459E-2</v>
      </c>
    </row>
    <row r="849" spans="1:5" x14ac:dyDescent="0.3">
      <c r="A849" s="126">
        <v>45505</v>
      </c>
      <c r="B849" s="127">
        <v>25010.900390625</v>
      </c>
      <c r="C849" s="56">
        <f t="shared" si="26"/>
        <v>2.3946791656728195E-3</v>
      </c>
      <c r="D849" s="127">
        <v>5175.0771484375</v>
      </c>
      <c r="E849" s="56">
        <f t="shared" si="27"/>
        <v>-7.1946031249709996E-3</v>
      </c>
    </row>
    <row r="850" spans="1:5" x14ac:dyDescent="0.3">
      <c r="A850" s="126">
        <v>45506</v>
      </c>
      <c r="B850" s="127">
        <v>24717.69921875</v>
      </c>
      <c r="C850" s="56">
        <f t="shared" si="26"/>
        <v>-1.1722935491954689E-2</v>
      </c>
      <c r="D850" s="127">
        <v>5199.08154296875</v>
      </c>
      <c r="E850" s="56">
        <f t="shared" si="27"/>
        <v>4.6384611944378928E-3</v>
      </c>
    </row>
    <row r="851" spans="1:5" x14ac:dyDescent="0.3">
      <c r="A851" s="126">
        <v>45509</v>
      </c>
      <c r="B851" s="127">
        <v>24055.599609375</v>
      </c>
      <c r="C851" s="56">
        <f t="shared" si="26"/>
        <v>-2.6786457894622862E-2</v>
      </c>
      <c r="D851" s="127">
        <v>5217.1943359375</v>
      </c>
      <c r="E851" s="56">
        <f t="shared" si="27"/>
        <v>3.4838447558580565E-3</v>
      </c>
    </row>
    <row r="852" spans="1:5" x14ac:dyDescent="0.3">
      <c r="A852" s="126">
        <v>45510</v>
      </c>
      <c r="B852" s="127">
        <v>23992.55078125</v>
      </c>
      <c r="C852" s="56">
        <f t="shared" si="26"/>
        <v>-2.6209626510589334E-3</v>
      </c>
      <c r="D852" s="127">
        <v>5225.93115234375</v>
      </c>
      <c r="E852" s="56">
        <f t="shared" si="27"/>
        <v>1.6746196985739648E-3</v>
      </c>
    </row>
    <row r="853" spans="1:5" x14ac:dyDescent="0.3">
      <c r="A853" s="126">
        <v>45511</v>
      </c>
      <c r="B853" s="127">
        <v>24297.5</v>
      </c>
      <c r="C853" s="56">
        <f t="shared" si="26"/>
        <v>1.2710162480444431E-2</v>
      </c>
      <c r="D853" s="127">
        <v>5411.62890625</v>
      </c>
      <c r="E853" s="56">
        <f t="shared" si="27"/>
        <v>3.5533907449769586E-2</v>
      </c>
    </row>
    <row r="854" spans="1:5" x14ac:dyDescent="0.3">
      <c r="A854" s="126">
        <v>45512</v>
      </c>
      <c r="B854" s="127">
        <v>24117</v>
      </c>
      <c r="C854" s="56">
        <f t="shared" si="26"/>
        <v>-7.4287478135610652E-3</v>
      </c>
      <c r="D854" s="127">
        <v>5583.23779296875</v>
      </c>
      <c r="E854" s="56">
        <f t="shared" si="27"/>
        <v>3.1711133503732114E-2</v>
      </c>
    </row>
    <row r="855" spans="1:5" x14ac:dyDescent="0.3">
      <c r="A855" s="126">
        <v>45513</v>
      </c>
      <c r="B855" s="127">
        <v>24367.5</v>
      </c>
      <c r="C855" s="56">
        <f t="shared" si="26"/>
        <v>1.0386864037815746E-2</v>
      </c>
      <c r="D855" s="127">
        <v>5696.04150390625</v>
      </c>
      <c r="E855" s="56">
        <f t="shared" si="27"/>
        <v>2.0203995445001288E-2</v>
      </c>
    </row>
    <row r="856" spans="1:5" x14ac:dyDescent="0.3">
      <c r="A856" s="126">
        <v>45516</v>
      </c>
      <c r="B856" s="127">
        <v>24347</v>
      </c>
      <c r="C856" s="56">
        <f t="shared" si="26"/>
        <v>-8.4128449779419245E-4</v>
      </c>
      <c r="D856" s="127">
        <v>5615.4677734375</v>
      </c>
      <c r="E856" s="56">
        <f t="shared" si="27"/>
        <v>-1.4145565901072521E-2</v>
      </c>
    </row>
    <row r="857" spans="1:5" x14ac:dyDescent="0.3">
      <c r="A857" s="126">
        <v>45517</v>
      </c>
      <c r="B857" s="127">
        <v>24139</v>
      </c>
      <c r="C857" s="56">
        <f t="shared" si="26"/>
        <v>-8.5431469996303244E-3</v>
      </c>
      <c r="D857" s="127">
        <v>5610.1123046875</v>
      </c>
      <c r="E857" s="56">
        <f t="shared" si="27"/>
        <v>-9.5369948970813745E-4</v>
      </c>
    </row>
    <row r="858" spans="1:5" x14ac:dyDescent="0.3">
      <c r="A858" s="126">
        <v>45518</v>
      </c>
      <c r="B858" s="127">
        <v>24143.75</v>
      </c>
      <c r="C858" s="56">
        <f t="shared" si="26"/>
        <v>1.9677699987563635E-4</v>
      </c>
      <c r="D858" s="127">
        <v>5583.77783203125</v>
      </c>
      <c r="E858" s="56">
        <f t="shared" si="27"/>
        <v>-4.6941079297551092E-3</v>
      </c>
    </row>
    <row r="859" spans="1:5" x14ac:dyDescent="0.3">
      <c r="A859" s="126">
        <v>45520</v>
      </c>
      <c r="B859" s="127">
        <v>24541.150390625</v>
      </c>
      <c r="C859" s="56">
        <f t="shared" si="26"/>
        <v>1.6459762490292462E-2</v>
      </c>
      <c r="D859" s="127">
        <v>5583.1396484375</v>
      </c>
      <c r="E859" s="56">
        <f t="shared" si="27"/>
        <v>-1.1429244016281093E-4</v>
      </c>
    </row>
    <row r="860" spans="1:5" x14ac:dyDescent="0.3">
      <c r="A860" s="126">
        <v>45523</v>
      </c>
      <c r="B860" s="127">
        <v>24572.650390625</v>
      </c>
      <c r="C860" s="56">
        <f t="shared" si="26"/>
        <v>1.2835584110202358E-3</v>
      </c>
      <c r="D860" s="127">
        <v>5640.8681640625</v>
      </c>
      <c r="E860" s="56">
        <f t="shared" si="27"/>
        <v>1.0339794320057161E-2</v>
      </c>
    </row>
    <row r="861" spans="1:5" x14ac:dyDescent="0.3">
      <c r="A861" s="126">
        <v>45524</v>
      </c>
      <c r="B861" s="127">
        <v>24698.849609375</v>
      </c>
      <c r="C861" s="56">
        <f t="shared" si="26"/>
        <v>5.1357593399101731E-3</v>
      </c>
      <c r="D861" s="127">
        <v>5633.3505859375</v>
      </c>
      <c r="E861" s="56">
        <f t="shared" si="27"/>
        <v>-1.3326987808177648E-3</v>
      </c>
    </row>
    <row r="862" spans="1:5" x14ac:dyDescent="0.3">
      <c r="A862" s="126">
        <v>45525</v>
      </c>
      <c r="B862" s="127">
        <v>24770.19921875</v>
      </c>
      <c r="C862" s="56">
        <f t="shared" si="26"/>
        <v>2.8887826964991703E-3</v>
      </c>
      <c r="D862" s="127">
        <v>5689.310546875</v>
      </c>
      <c r="E862" s="56">
        <f t="shared" si="27"/>
        <v>9.9336904536337922E-3</v>
      </c>
    </row>
    <row r="863" spans="1:5" x14ac:dyDescent="0.3">
      <c r="A863" s="126">
        <v>45526</v>
      </c>
      <c r="B863" s="127">
        <v>24811.5</v>
      </c>
      <c r="C863" s="56">
        <f t="shared" si="26"/>
        <v>1.6673576536574419E-3</v>
      </c>
      <c r="D863" s="127">
        <v>5667.7421875</v>
      </c>
      <c r="E863" s="56">
        <f t="shared" si="27"/>
        <v>-3.7910321817196113E-3</v>
      </c>
    </row>
    <row r="864" spans="1:5" x14ac:dyDescent="0.3">
      <c r="A864" s="126">
        <v>45527</v>
      </c>
      <c r="B864" s="127">
        <v>24823.150390625</v>
      </c>
      <c r="C864" s="56">
        <f t="shared" si="26"/>
        <v>4.6955607782672715E-4</v>
      </c>
      <c r="D864" s="127">
        <v>5653.78955078125</v>
      </c>
      <c r="E864" s="56">
        <f t="shared" si="27"/>
        <v>-2.4617627720473489E-3</v>
      </c>
    </row>
    <row r="865" spans="1:5" x14ac:dyDescent="0.3">
      <c r="A865" s="126">
        <v>45530</v>
      </c>
      <c r="B865" s="127">
        <v>25010.599609375</v>
      </c>
      <c r="C865" s="56">
        <f t="shared" si="26"/>
        <v>7.5513871446710734E-3</v>
      </c>
      <c r="D865" s="127">
        <v>5717.46240234375</v>
      </c>
      <c r="E865" s="56">
        <f t="shared" si="27"/>
        <v>1.1261977650671717E-2</v>
      </c>
    </row>
    <row r="866" spans="1:5" x14ac:dyDescent="0.3">
      <c r="A866" s="126">
        <v>45531</v>
      </c>
      <c r="B866" s="127">
        <v>25017.75</v>
      </c>
      <c r="C866" s="56">
        <f t="shared" si="26"/>
        <v>2.8589441023707529E-4</v>
      </c>
      <c r="D866" s="127">
        <v>5788.55419921875</v>
      </c>
      <c r="E866" s="56">
        <f t="shared" si="27"/>
        <v>1.2434152054215053E-2</v>
      </c>
    </row>
    <row r="867" spans="1:5" x14ac:dyDescent="0.3">
      <c r="A867" s="126">
        <v>45532</v>
      </c>
      <c r="B867" s="127">
        <v>25052.349609375</v>
      </c>
      <c r="C867" s="56">
        <f t="shared" si="26"/>
        <v>1.3830024432652799E-3</v>
      </c>
      <c r="D867" s="127">
        <v>5893.103515625</v>
      </c>
      <c r="E867" s="56">
        <f t="shared" si="27"/>
        <v>1.8061386800241053E-2</v>
      </c>
    </row>
    <row r="868" spans="1:5" x14ac:dyDescent="0.3">
      <c r="A868" s="126">
        <v>45533</v>
      </c>
      <c r="B868" s="127">
        <v>25151.94921875</v>
      </c>
      <c r="C868" s="56">
        <f t="shared" si="26"/>
        <v>3.97565940632294E-3</v>
      </c>
      <c r="D868" s="127">
        <v>5894.970703125</v>
      </c>
      <c r="E868" s="56">
        <f t="shared" si="27"/>
        <v>3.1684281381605395E-4</v>
      </c>
    </row>
    <row r="869" spans="1:5" x14ac:dyDescent="0.3">
      <c r="A869" s="126">
        <v>45534</v>
      </c>
      <c r="B869" s="127">
        <v>25235.900390625</v>
      </c>
      <c r="C869" s="56">
        <f t="shared" si="26"/>
        <v>3.3377600735777779E-3</v>
      </c>
      <c r="D869" s="127">
        <v>6063.04638671875</v>
      </c>
      <c r="E869" s="56">
        <f t="shared" si="27"/>
        <v>2.8511708040321659E-2</v>
      </c>
    </row>
    <row r="870" spans="1:5" x14ac:dyDescent="0.3">
      <c r="A870" s="126">
        <v>45537</v>
      </c>
      <c r="B870" s="127">
        <v>25278.69921875</v>
      </c>
      <c r="C870" s="56">
        <f t="shared" si="26"/>
        <v>1.695950113232314E-3</v>
      </c>
      <c r="D870" s="127">
        <v>5968.02783203125</v>
      </c>
      <c r="E870" s="56">
        <f t="shared" si="27"/>
        <v>-1.5671751233116149E-2</v>
      </c>
    </row>
    <row r="871" spans="1:5" x14ac:dyDescent="0.3">
      <c r="A871" s="126">
        <v>45538</v>
      </c>
      <c r="B871" s="127">
        <v>25279.849609375</v>
      </c>
      <c r="C871" s="56">
        <f t="shared" si="26"/>
        <v>4.5508299894914117E-5</v>
      </c>
      <c r="D871" s="127">
        <v>6002.517578125</v>
      </c>
      <c r="E871" s="56">
        <f t="shared" si="27"/>
        <v>5.7790860003430478E-3</v>
      </c>
    </row>
    <row r="872" spans="1:5" x14ac:dyDescent="0.3">
      <c r="A872" s="126">
        <v>45539</v>
      </c>
      <c r="B872" s="127">
        <v>25198.69921875</v>
      </c>
      <c r="C872" s="56">
        <f t="shared" si="26"/>
        <v>-3.2100820170585243E-3</v>
      </c>
      <c r="D872" s="127">
        <v>6099.8447265625</v>
      </c>
      <c r="E872" s="56">
        <f t="shared" si="27"/>
        <v>1.6214387908198624E-2</v>
      </c>
    </row>
    <row r="873" spans="1:5" x14ac:dyDescent="0.3">
      <c r="A873" s="126">
        <v>45540</v>
      </c>
      <c r="B873" s="127">
        <v>25145.099609375</v>
      </c>
      <c r="C873" s="56">
        <f t="shared" si="26"/>
        <v>-2.1270784221717465E-3</v>
      </c>
      <c r="D873" s="127">
        <v>6167.39892578125</v>
      </c>
      <c r="E873" s="56">
        <f t="shared" si="27"/>
        <v>1.1074740792101911E-2</v>
      </c>
    </row>
    <row r="874" spans="1:5" x14ac:dyDescent="0.3">
      <c r="A874" s="126">
        <v>45541</v>
      </c>
      <c r="B874" s="127">
        <v>24852.150390625</v>
      </c>
      <c r="C874" s="56">
        <f t="shared" si="26"/>
        <v>-1.1650350298901935E-2</v>
      </c>
      <c r="D874" s="127">
        <v>6200.21875</v>
      </c>
      <c r="E874" s="56">
        <f t="shared" si="27"/>
        <v>5.3215017568517542E-3</v>
      </c>
    </row>
    <row r="875" spans="1:5" x14ac:dyDescent="0.3">
      <c r="A875" s="126">
        <v>45544</v>
      </c>
      <c r="B875" s="127">
        <v>24936.400390625</v>
      </c>
      <c r="C875" s="56">
        <f t="shared" si="26"/>
        <v>3.3900486950126929E-3</v>
      </c>
      <c r="D875" s="127">
        <v>6159.04736328125</v>
      </c>
      <c r="E875" s="56">
        <f t="shared" si="27"/>
        <v>-6.6403119597594484E-3</v>
      </c>
    </row>
    <row r="876" spans="1:5" x14ac:dyDescent="0.3">
      <c r="A876" s="126">
        <v>45545</v>
      </c>
      <c r="B876" s="127">
        <v>25041.099609375</v>
      </c>
      <c r="C876" s="56">
        <f t="shared" si="26"/>
        <v>4.1986500501236534E-3</v>
      </c>
      <c r="D876" s="127">
        <v>6206.99853515625</v>
      </c>
      <c r="E876" s="56">
        <f t="shared" si="27"/>
        <v>7.7854851646170786E-3</v>
      </c>
    </row>
    <row r="877" spans="1:5" x14ac:dyDescent="0.3">
      <c r="A877" s="126">
        <v>45546</v>
      </c>
      <c r="B877" s="127">
        <v>24918.44921875</v>
      </c>
      <c r="C877" s="56">
        <f t="shared" si="26"/>
        <v>-4.897963449619458E-3</v>
      </c>
      <c r="D877" s="127">
        <v>6168.775390625</v>
      </c>
      <c r="E877" s="56">
        <f t="shared" si="27"/>
        <v>-6.1580721043762443E-3</v>
      </c>
    </row>
    <row r="878" spans="1:5" x14ac:dyDescent="0.3">
      <c r="A878" s="126">
        <v>45547</v>
      </c>
      <c r="B878" s="127">
        <v>25388.900390625</v>
      </c>
      <c r="C878" s="56">
        <f t="shared" si="26"/>
        <v>1.887963282727112E-2</v>
      </c>
      <c r="D878" s="127">
        <v>6237.458984375</v>
      </c>
      <c r="E878" s="56">
        <f t="shared" si="27"/>
        <v>1.1134072713099963E-2</v>
      </c>
    </row>
    <row r="879" spans="1:5" x14ac:dyDescent="0.3">
      <c r="A879" s="126">
        <v>45548</v>
      </c>
      <c r="B879" s="127">
        <v>25356.5</v>
      </c>
      <c r="C879" s="56">
        <f t="shared" si="26"/>
        <v>-1.2761636040355961E-3</v>
      </c>
      <c r="D879" s="127">
        <v>6255.53955078125</v>
      </c>
      <c r="E879" s="56">
        <f t="shared" si="27"/>
        <v>2.8987070618888833E-3</v>
      </c>
    </row>
    <row r="880" spans="1:5" x14ac:dyDescent="0.3">
      <c r="A880" s="126">
        <v>45551</v>
      </c>
      <c r="B880" s="127">
        <v>25383.75</v>
      </c>
      <c r="C880" s="56">
        <f t="shared" si="26"/>
        <v>1.0746751326089488E-3</v>
      </c>
      <c r="D880" s="127">
        <v>6246.892578125</v>
      </c>
      <c r="E880" s="56">
        <f t="shared" si="27"/>
        <v>-1.3822904620864884E-3</v>
      </c>
    </row>
    <row r="881" spans="1:5" x14ac:dyDescent="0.3">
      <c r="A881" s="126">
        <v>45552</v>
      </c>
      <c r="B881" s="127">
        <v>25418.55078125</v>
      </c>
      <c r="C881" s="56">
        <f t="shared" si="26"/>
        <v>1.3709866056039743E-3</v>
      </c>
      <c r="D881" s="127">
        <v>6108.73779296875</v>
      </c>
      <c r="E881" s="56">
        <f t="shared" si="27"/>
        <v>-2.2115761305073867E-2</v>
      </c>
    </row>
    <row r="882" spans="1:5" x14ac:dyDescent="0.3">
      <c r="A882" s="126">
        <v>45553</v>
      </c>
      <c r="B882" s="127">
        <v>25377.55078125</v>
      </c>
      <c r="C882" s="56">
        <f t="shared" si="26"/>
        <v>-1.6129951842196455E-3</v>
      </c>
      <c r="D882" s="127">
        <v>5984.3876953125</v>
      </c>
      <c r="E882" s="56">
        <f t="shared" si="27"/>
        <v>-2.0356103318001084E-2</v>
      </c>
    </row>
    <row r="883" spans="1:5" x14ac:dyDescent="0.3">
      <c r="A883" s="126">
        <v>45554</v>
      </c>
      <c r="B883" s="127">
        <v>25415.80078125</v>
      </c>
      <c r="C883" s="56">
        <f t="shared" si="26"/>
        <v>1.5072376499098983E-3</v>
      </c>
      <c r="D883" s="127">
        <v>6030.12890625</v>
      </c>
      <c r="E883" s="56">
        <f t="shared" si="27"/>
        <v>7.6434237329456867E-3</v>
      </c>
    </row>
    <row r="884" spans="1:5" x14ac:dyDescent="0.3">
      <c r="A884" s="126">
        <v>45555</v>
      </c>
      <c r="B884" s="127">
        <v>25790.94921875</v>
      </c>
      <c r="C884" s="56">
        <f t="shared" si="26"/>
        <v>1.4760441377741573E-2</v>
      </c>
      <c r="D884" s="127">
        <v>5980.89990234375</v>
      </c>
      <c r="E884" s="56">
        <f t="shared" si="27"/>
        <v>-8.1638393924259312E-3</v>
      </c>
    </row>
    <row r="885" spans="1:5" x14ac:dyDescent="0.3">
      <c r="A885" s="126">
        <v>45558</v>
      </c>
      <c r="B885" s="127">
        <v>25939.05078125</v>
      </c>
      <c r="C885" s="56">
        <f t="shared" si="26"/>
        <v>5.7423850996662917E-3</v>
      </c>
      <c r="D885" s="127">
        <v>5878.4140625</v>
      </c>
      <c r="E885" s="56">
        <f t="shared" si="27"/>
        <v>-1.7135521663485531E-2</v>
      </c>
    </row>
    <row r="886" spans="1:5" x14ac:dyDescent="0.3">
      <c r="A886" s="126">
        <v>45559</v>
      </c>
      <c r="B886" s="127">
        <v>25940.400390625</v>
      </c>
      <c r="C886" s="56">
        <f t="shared" si="26"/>
        <v>5.2030021699067674E-5</v>
      </c>
      <c r="D886" s="127">
        <v>5941.64453125</v>
      </c>
      <c r="E886" s="56">
        <f t="shared" si="27"/>
        <v>1.0756382261903674E-2</v>
      </c>
    </row>
    <row r="887" spans="1:5" x14ac:dyDescent="0.3">
      <c r="A887" s="126">
        <v>45560</v>
      </c>
      <c r="B887" s="127">
        <v>26004.150390625</v>
      </c>
      <c r="C887" s="56">
        <f t="shared" si="26"/>
        <v>2.4575565157058943E-3</v>
      </c>
      <c r="D887" s="127">
        <v>6118.3671875</v>
      </c>
      <c r="E887" s="56">
        <f t="shared" si="27"/>
        <v>2.9743054354822052E-2</v>
      </c>
    </row>
    <row r="888" spans="1:5" x14ac:dyDescent="0.3">
      <c r="A888" s="126">
        <v>45561</v>
      </c>
      <c r="B888" s="127">
        <v>26216.05078125</v>
      </c>
      <c r="C888" s="56">
        <f t="shared" si="26"/>
        <v>8.1487142414540248E-3</v>
      </c>
      <c r="D888" s="127">
        <v>6089.3798828125</v>
      </c>
      <c r="E888" s="56">
        <f t="shared" si="27"/>
        <v>-4.7377517234862276E-3</v>
      </c>
    </row>
    <row r="889" spans="1:5" x14ac:dyDescent="0.3">
      <c r="A889" s="126">
        <v>45562</v>
      </c>
      <c r="B889" s="127">
        <v>26178.94921875</v>
      </c>
      <c r="C889" s="56">
        <f t="shared" si="26"/>
        <v>-1.4152231703233875E-3</v>
      </c>
      <c r="D889" s="127">
        <v>6077.04833984375</v>
      </c>
      <c r="E889" s="56">
        <f t="shared" si="27"/>
        <v>-2.025090108691785E-3</v>
      </c>
    </row>
    <row r="890" spans="1:5" x14ac:dyDescent="0.3">
      <c r="A890" s="126">
        <v>45565</v>
      </c>
      <c r="B890" s="127">
        <v>25810.849609375</v>
      </c>
      <c r="C890" s="56">
        <f t="shared" si="26"/>
        <v>-1.4060900852023384E-2</v>
      </c>
      <c r="D890" s="127">
        <v>5947.54052734375</v>
      </c>
      <c r="E890" s="56">
        <f t="shared" si="27"/>
        <v>-2.1310972902896075E-2</v>
      </c>
    </row>
    <row r="891" spans="1:5" x14ac:dyDescent="0.3">
      <c r="A891" s="126">
        <v>45566</v>
      </c>
      <c r="B891" s="127">
        <v>25796.900390625</v>
      </c>
      <c r="C891" s="56">
        <f t="shared" si="26"/>
        <v>-5.4044012347942427E-4</v>
      </c>
      <c r="D891" s="127">
        <v>6044.2783203125</v>
      </c>
      <c r="E891" s="56">
        <f t="shared" si="27"/>
        <v>1.6265175920029407E-2</v>
      </c>
    </row>
    <row r="892" spans="1:5" x14ac:dyDescent="0.3">
      <c r="A892" s="126">
        <v>45568</v>
      </c>
      <c r="B892" s="127">
        <v>25250.099609375</v>
      </c>
      <c r="C892" s="56">
        <f t="shared" si="26"/>
        <v>-2.1196375260987388E-2</v>
      </c>
      <c r="D892" s="127">
        <v>6052.1884765625</v>
      </c>
      <c r="E892" s="56">
        <f t="shared" si="27"/>
        <v>1.3087015241202149E-3</v>
      </c>
    </row>
    <row r="893" spans="1:5" x14ac:dyDescent="0.3">
      <c r="A893" s="126">
        <v>45569</v>
      </c>
      <c r="B893" s="127">
        <v>25014.599609375</v>
      </c>
      <c r="C893" s="56">
        <f t="shared" si="26"/>
        <v>-9.3266958801446753E-3</v>
      </c>
      <c r="D893" s="127">
        <v>6086.43212890625</v>
      </c>
      <c r="E893" s="56">
        <f t="shared" si="27"/>
        <v>5.6580611255516722E-3</v>
      </c>
    </row>
    <row r="894" spans="1:5" x14ac:dyDescent="0.3">
      <c r="A894" s="126">
        <v>45572</v>
      </c>
      <c r="B894" s="127">
        <v>24795.75</v>
      </c>
      <c r="C894" s="56">
        <f t="shared" si="26"/>
        <v>-8.7488751686026767E-3</v>
      </c>
      <c r="D894" s="127">
        <v>6053.12158203125</v>
      </c>
      <c r="E894" s="56">
        <f t="shared" si="27"/>
        <v>-5.4729184799084951E-3</v>
      </c>
    </row>
    <row r="895" spans="1:5" x14ac:dyDescent="0.3">
      <c r="A895" s="126">
        <v>45573</v>
      </c>
      <c r="B895" s="127">
        <v>25013.150390625</v>
      </c>
      <c r="C895" s="56">
        <f t="shared" si="26"/>
        <v>8.7676473034692393E-3</v>
      </c>
      <c r="D895" s="127">
        <v>6142.14697265625</v>
      </c>
      <c r="E895" s="56">
        <f t="shared" si="27"/>
        <v>1.4707352135346685E-2</v>
      </c>
    </row>
    <row r="896" spans="1:5" x14ac:dyDescent="0.3">
      <c r="A896" s="126">
        <v>45574</v>
      </c>
      <c r="B896" s="127">
        <v>24981.94921875</v>
      </c>
      <c r="C896" s="56">
        <f t="shared" si="26"/>
        <v>-1.2473907279866303E-3</v>
      </c>
      <c r="D896" s="127">
        <v>6184.64404296875</v>
      </c>
      <c r="E896" s="56">
        <f t="shared" si="27"/>
        <v>6.9189276163024171E-3</v>
      </c>
    </row>
    <row r="897" spans="1:5" x14ac:dyDescent="0.3">
      <c r="A897" s="126">
        <v>45575</v>
      </c>
      <c r="B897" s="127">
        <v>24998.44921875</v>
      </c>
      <c r="C897" s="56">
        <f t="shared" si="26"/>
        <v>6.6047688495074475E-4</v>
      </c>
      <c r="D897" s="127">
        <v>6030.37451171875</v>
      </c>
      <c r="E897" s="56">
        <f t="shared" si="27"/>
        <v>-2.4943962850277113E-2</v>
      </c>
    </row>
    <row r="898" spans="1:5" x14ac:dyDescent="0.3">
      <c r="A898" s="126">
        <v>45576</v>
      </c>
      <c r="B898" s="127">
        <v>24964.25</v>
      </c>
      <c r="C898" s="56">
        <f t="shared" si="26"/>
        <v>-1.3680536120755926E-3</v>
      </c>
      <c r="D898" s="127">
        <v>6083.6318359375</v>
      </c>
      <c r="E898" s="56">
        <f t="shared" si="27"/>
        <v>8.8315118928776748E-3</v>
      </c>
    </row>
    <row r="899" spans="1:5" x14ac:dyDescent="0.3">
      <c r="A899" s="126">
        <v>45579</v>
      </c>
      <c r="B899" s="127">
        <v>25127.94921875</v>
      </c>
      <c r="C899" s="56">
        <f t="shared" si="26"/>
        <v>6.5573457544287894E-3</v>
      </c>
      <c r="D899" s="127">
        <v>6142.736328125</v>
      </c>
      <c r="E899" s="56">
        <f t="shared" si="27"/>
        <v>9.7153302141583797E-3</v>
      </c>
    </row>
    <row r="900" spans="1:5" x14ac:dyDescent="0.3">
      <c r="A900" s="126">
        <v>45580</v>
      </c>
      <c r="B900" s="127">
        <v>25057.349609375</v>
      </c>
      <c r="C900" s="56">
        <f t="shared" si="26"/>
        <v>-2.8096049048969007E-3</v>
      </c>
      <c r="D900" s="127">
        <v>6156.54150390625</v>
      </c>
      <c r="E900" s="56">
        <f t="shared" si="27"/>
        <v>2.2473983976882828E-3</v>
      </c>
    </row>
    <row r="901" spans="1:5" x14ac:dyDescent="0.3">
      <c r="A901" s="126">
        <v>45581</v>
      </c>
      <c r="B901" s="127">
        <v>24971.30078125</v>
      </c>
      <c r="C901" s="56">
        <f t="shared" si="26"/>
        <v>-3.4340754096676696E-3</v>
      </c>
      <c r="D901" s="127">
        <v>5988.318359375</v>
      </c>
      <c r="E901" s="56">
        <f t="shared" si="27"/>
        <v>-2.732429309938289E-2</v>
      </c>
    </row>
    <row r="902" spans="1:5" x14ac:dyDescent="0.3">
      <c r="A902" s="126">
        <v>45582</v>
      </c>
      <c r="B902" s="127">
        <v>24749.849609375</v>
      </c>
      <c r="C902" s="56">
        <f t="shared" si="26"/>
        <v>-8.8682273228345432E-3</v>
      </c>
      <c r="D902" s="127">
        <v>5918.2587890625</v>
      </c>
      <c r="E902" s="56">
        <f t="shared" si="27"/>
        <v>-1.1699373030630289E-2</v>
      </c>
    </row>
    <row r="903" spans="1:5" x14ac:dyDescent="0.3">
      <c r="A903" s="126">
        <v>45583</v>
      </c>
      <c r="B903" s="127">
        <v>24854.05078125</v>
      </c>
      <c r="C903" s="56">
        <f t="shared" ref="C903:C966" si="28">B903/B902-1</f>
        <v>4.2101739412401251E-3</v>
      </c>
      <c r="D903" s="127">
        <v>6026.10009765625</v>
      </c>
      <c r="E903" s="56">
        <f t="shared" ref="E903:E966" si="29">D903/D902-1</f>
        <v>1.822179672052382E-2</v>
      </c>
    </row>
    <row r="904" spans="1:5" x14ac:dyDescent="0.3">
      <c r="A904" s="126">
        <v>45586</v>
      </c>
      <c r="B904" s="127">
        <v>24781.099609375</v>
      </c>
      <c r="C904" s="56">
        <f t="shared" si="28"/>
        <v>-2.93518237799828E-3</v>
      </c>
      <c r="D904" s="127">
        <v>6051.25537109375</v>
      </c>
      <c r="E904" s="56">
        <f t="shared" si="29"/>
        <v>4.174386921864004E-3</v>
      </c>
    </row>
    <row r="905" spans="1:5" x14ac:dyDescent="0.3">
      <c r="A905" s="126">
        <v>45587</v>
      </c>
      <c r="B905" s="127">
        <v>24472.099609375</v>
      </c>
      <c r="C905" s="56">
        <f t="shared" si="28"/>
        <v>-1.2469180337869368E-2</v>
      </c>
      <c r="D905" s="127">
        <v>6003.9912109375</v>
      </c>
      <c r="E905" s="56">
        <f t="shared" si="29"/>
        <v>-7.8106371748953851E-3</v>
      </c>
    </row>
    <row r="906" spans="1:5" x14ac:dyDescent="0.3">
      <c r="A906" s="126">
        <v>45588</v>
      </c>
      <c r="B906" s="127">
        <v>24435.5</v>
      </c>
      <c r="C906" s="56">
        <f t="shared" si="28"/>
        <v>-1.4955647434917729E-3</v>
      </c>
      <c r="D906" s="127">
        <v>5752.73779296875</v>
      </c>
      <c r="E906" s="56">
        <f t="shared" si="29"/>
        <v>-4.1847732473532018E-2</v>
      </c>
    </row>
    <row r="907" spans="1:5" x14ac:dyDescent="0.3">
      <c r="A907" s="126">
        <v>45589</v>
      </c>
      <c r="B907" s="127">
        <v>24399.400390625</v>
      </c>
      <c r="C907" s="56">
        <f t="shared" si="28"/>
        <v>-1.4773427748562273E-3</v>
      </c>
      <c r="D907" s="127">
        <v>5857.28759765625</v>
      </c>
      <c r="E907" s="56">
        <f t="shared" si="29"/>
        <v>1.8173921435335583E-2</v>
      </c>
    </row>
    <row r="908" spans="1:5" x14ac:dyDescent="0.3">
      <c r="A908" s="126">
        <v>45590</v>
      </c>
      <c r="B908" s="127">
        <v>24180.80078125</v>
      </c>
      <c r="C908" s="56">
        <f t="shared" si="28"/>
        <v>-8.9592205494931632E-3</v>
      </c>
      <c r="D908" s="127">
        <v>5839.20751953125</v>
      </c>
      <c r="E908" s="56">
        <f t="shared" si="29"/>
        <v>-3.0867663271707535E-3</v>
      </c>
    </row>
    <row r="909" spans="1:5" x14ac:dyDescent="0.3">
      <c r="A909" s="126">
        <v>45593</v>
      </c>
      <c r="B909" s="127">
        <v>24339.150390625</v>
      </c>
      <c r="C909" s="56">
        <f t="shared" si="28"/>
        <v>6.5485676346082045E-3</v>
      </c>
      <c r="D909" s="127">
        <v>5934.5205078125</v>
      </c>
      <c r="E909" s="56">
        <f t="shared" si="29"/>
        <v>1.6322932172292637E-2</v>
      </c>
    </row>
    <row r="910" spans="1:5" x14ac:dyDescent="0.3">
      <c r="A910" s="126">
        <v>45594</v>
      </c>
      <c r="B910" s="127">
        <v>24466.849609375</v>
      </c>
      <c r="C910" s="56">
        <f t="shared" si="28"/>
        <v>5.2466588480091225E-3</v>
      </c>
      <c r="D910" s="127">
        <v>5825.205078125</v>
      </c>
      <c r="E910" s="56">
        <f t="shared" si="29"/>
        <v>-1.8420263194573461E-2</v>
      </c>
    </row>
    <row r="911" spans="1:5" x14ac:dyDescent="0.3">
      <c r="A911" s="126">
        <v>45595</v>
      </c>
      <c r="B911" s="127">
        <v>24340.849609375</v>
      </c>
      <c r="C911" s="56">
        <f t="shared" si="28"/>
        <v>-5.1498252538292322E-3</v>
      </c>
      <c r="D911" s="127">
        <v>5694.81298828125</v>
      </c>
      <c r="E911" s="56">
        <f t="shared" si="29"/>
        <v>-2.2384120060150781E-2</v>
      </c>
    </row>
    <row r="912" spans="1:5" x14ac:dyDescent="0.3">
      <c r="A912" s="126">
        <v>45596</v>
      </c>
      <c r="B912" s="127">
        <v>24205.349609375</v>
      </c>
      <c r="C912" s="56">
        <f t="shared" si="28"/>
        <v>-5.5667736407940538E-3</v>
      </c>
      <c r="D912" s="127">
        <v>5678.74755859375</v>
      </c>
      <c r="E912" s="56">
        <f t="shared" si="29"/>
        <v>-2.8210636100886033E-3</v>
      </c>
    </row>
    <row r="913" spans="1:5" x14ac:dyDescent="0.3">
      <c r="A913" s="126">
        <v>45597</v>
      </c>
      <c r="B913" s="127">
        <v>24304.349609375</v>
      </c>
      <c r="C913" s="56">
        <f t="shared" si="28"/>
        <v>4.090004961616156E-3</v>
      </c>
      <c r="D913" s="127">
        <v>5704.294921875</v>
      </c>
      <c r="E913" s="56">
        <f t="shared" si="29"/>
        <v>4.4987672048546479E-3</v>
      </c>
    </row>
    <row r="914" spans="1:5" x14ac:dyDescent="0.3">
      <c r="A914" s="126">
        <v>45600</v>
      </c>
      <c r="B914" s="127">
        <v>23995.349609375</v>
      </c>
      <c r="C914" s="56">
        <f t="shared" si="28"/>
        <v>-1.2713773664645101E-2</v>
      </c>
      <c r="D914" s="127">
        <v>5697.4658203125</v>
      </c>
      <c r="E914" s="56">
        <f t="shared" si="29"/>
        <v>-1.1971859197377199E-3</v>
      </c>
    </row>
    <row r="915" spans="1:5" x14ac:dyDescent="0.3">
      <c r="A915" s="126">
        <v>45601</v>
      </c>
      <c r="B915" s="127">
        <v>24213.30078125</v>
      </c>
      <c r="C915" s="56">
        <f t="shared" si="28"/>
        <v>9.0830588186072703E-3</v>
      </c>
      <c r="D915" s="127">
        <v>5571.7412109375</v>
      </c>
      <c r="E915" s="56">
        <f t="shared" si="29"/>
        <v>-2.2066759738473385E-2</v>
      </c>
    </row>
    <row r="916" spans="1:5" x14ac:dyDescent="0.3">
      <c r="A916" s="126">
        <v>45602</v>
      </c>
      <c r="B916" s="127">
        <v>24484.05078125</v>
      </c>
      <c r="C916" s="56">
        <f t="shared" si="28"/>
        <v>1.1181870759630508E-2</v>
      </c>
      <c r="D916" s="127">
        <v>5752.0009765625</v>
      </c>
      <c r="E916" s="56">
        <f t="shared" si="29"/>
        <v>3.2352501453431604E-2</v>
      </c>
    </row>
    <row r="917" spans="1:5" x14ac:dyDescent="0.3">
      <c r="A917" s="126">
        <v>45603</v>
      </c>
      <c r="B917" s="127">
        <v>24199.349609375</v>
      </c>
      <c r="C917" s="56">
        <f t="shared" si="28"/>
        <v>-1.1628025706147627E-2</v>
      </c>
      <c r="D917" s="127">
        <v>5624.26171875</v>
      </c>
      <c r="E917" s="56">
        <f t="shared" si="29"/>
        <v>-2.2207794875730213E-2</v>
      </c>
    </row>
    <row r="918" spans="1:5" x14ac:dyDescent="0.3">
      <c r="A918" s="126">
        <v>45604</v>
      </c>
      <c r="B918" s="127">
        <v>24148.19921875</v>
      </c>
      <c r="C918" s="56">
        <f t="shared" si="28"/>
        <v>-2.113709312467793E-3</v>
      </c>
      <c r="D918" s="127">
        <v>5607.2626953125</v>
      </c>
      <c r="E918" s="56">
        <f t="shared" si="29"/>
        <v>-3.0224453070576418E-3</v>
      </c>
    </row>
    <row r="919" spans="1:5" x14ac:dyDescent="0.3">
      <c r="A919" s="126">
        <v>45607</v>
      </c>
      <c r="B919" s="127">
        <v>24141.30078125</v>
      </c>
      <c r="C919" s="56">
        <f t="shared" si="28"/>
        <v>-2.8567088740283353E-4</v>
      </c>
      <c r="D919" s="127">
        <v>5526.05029296875</v>
      </c>
      <c r="E919" s="56">
        <f t="shared" si="29"/>
        <v>-1.448343099952154E-2</v>
      </c>
    </row>
    <row r="920" spans="1:5" x14ac:dyDescent="0.3">
      <c r="A920" s="126">
        <v>45608</v>
      </c>
      <c r="B920" s="127">
        <v>23883.44921875</v>
      </c>
      <c r="C920" s="56">
        <f t="shared" si="28"/>
        <v>-1.0680930776533315E-2</v>
      </c>
      <c r="D920" s="127">
        <v>5407.6943359375</v>
      </c>
      <c r="E920" s="56">
        <f t="shared" si="29"/>
        <v>-2.1417821184480323E-2</v>
      </c>
    </row>
    <row r="921" spans="1:5" x14ac:dyDescent="0.3">
      <c r="A921" s="126">
        <v>45609</v>
      </c>
      <c r="B921" s="127">
        <v>23559.05078125</v>
      </c>
      <c r="C921" s="56">
        <f t="shared" si="28"/>
        <v>-1.3582562322921432E-2</v>
      </c>
      <c r="D921" s="127">
        <v>5474.31591796875</v>
      </c>
      <c r="E921" s="56">
        <f t="shared" si="29"/>
        <v>1.231977584023336E-2</v>
      </c>
    </row>
    <row r="922" spans="1:5" x14ac:dyDescent="0.3">
      <c r="A922" s="126">
        <v>45610</v>
      </c>
      <c r="B922" s="127">
        <v>23532.69921875</v>
      </c>
      <c r="C922" s="56">
        <f t="shared" si="28"/>
        <v>-1.1185324376894457E-3</v>
      </c>
      <c r="D922" s="127">
        <v>5428.8701171875</v>
      </c>
      <c r="E922" s="56">
        <f t="shared" si="29"/>
        <v>-8.3016401432149944E-3</v>
      </c>
    </row>
    <row r="923" spans="1:5" x14ac:dyDescent="0.3">
      <c r="A923" s="126">
        <v>45614</v>
      </c>
      <c r="B923" s="127">
        <v>23453.80078125</v>
      </c>
      <c r="C923" s="56">
        <f t="shared" si="28"/>
        <v>-3.3527151631265184E-3</v>
      </c>
      <c r="D923" s="127">
        <v>5419.240234375</v>
      </c>
      <c r="E923" s="56">
        <f t="shared" si="29"/>
        <v>-1.7738281824080104E-3</v>
      </c>
    </row>
    <row r="924" spans="1:5" x14ac:dyDescent="0.3">
      <c r="A924" s="126">
        <v>45615</v>
      </c>
      <c r="B924" s="127">
        <v>23518.5</v>
      </c>
      <c r="C924" s="56">
        <f t="shared" si="28"/>
        <v>2.758581406631766E-3</v>
      </c>
      <c r="D924" s="127">
        <v>5433.63525390625</v>
      </c>
      <c r="E924" s="56">
        <f t="shared" si="29"/>
        <v>2.6562800150360388E-3</v>
      </c>
    </row>
    <row r="925" spans="1:5" x14ac:dyDescent="0.3">
      <c r="A925" s="126">
        <v>45617</v>
      </c>
      <c r="B925" s="127">
        <v>23349.900390625</v>
      </c>
      <c r="C925" s="56">
        <f t="shared" si="28"/>
        <v>-7.1688079331164722E-3</v>
      </c>
      <c r="D925" s="127">
        <v>5507.28173828125</v>
      </c>
      <c r="E925" s="56">
        <f t="shared" si="29"/>
        <v>1.3553814515255835E-2</v>
      </c>
    </row>
    <row r="926" spans="1:5" x14ac:dyDescent="0.3">
      <c r="A926" s="126">
        <v>45618</v>
      </c>
      <c r="B926" s="127">
        <v>23907.25</v>
      </c>
      <c r="C926" s="56">
        <f t="shared" si="28"/>
        <v>2.3869464111237804E-2</v>
      </c>
      <c r="D926" s="127">
        <v>5486.25439453125</v>
      </c>
      <c r="E926" s="56">
        <f t="shared" si="29"/>
        <v>-3.8180984284567066E-3</v>
      </c>
    </row>
    <row r="927" spans="1:5" x14ac:dyDescent="0.3">
      <c r="A927" s="126">
        <v>45621</v>
      </c>
      <c r="B927" s="127">
        <v>24221.900390625</v>
      </c>
      <c r="C927" s="56">
        <f t="shared" si="28"/>
        <v>1.3161295867362366E-2</v>
      </c>
      <c r="D927" s="127">
        <v>5383.03125</v>
      </c>
      <c r="E927" s="56">
        <f t="shared" si="29"/>
        <v>-1.8814866593525825E-2</v>
      </c>
    </row>
    <row r="928" spans="1:5" x14ac:dyDescent="0.3">
      <c r="A928" s="126">
        <v>45622</v>
      </c>
      <c r="B928" s="127">
        <v>24194.5</v>
      </c>
      <c r="C928" s="56">
        <f t="shared" si="28"/>
        <v>-1.1312238174179257E-3</v>
      </c>
      <c r="D928" s="127">
        <v>5389.02490234375</v>
      </c>
      <c r="E928" s="56">
        <f t="shared" si="29"/>
        <v>1.1134344322727419E-3</v>
      </c>
    </row>
    <row r="929" spans="1:5" x14ac:dyDescent="0.3">
      <c r="A929" s="126">
        <v>45623</v>
      </c>
      <c r="B929" s="127">
        <v>24274.900390625</v>
      </c>
      <c r="C929" s="56">
        <f t="shared" si="28"/>
        <v>3.3230854378061281E-3</v>
      </c>
      <c r="D929" s="127">
        <v>5355.07568359375</v>
      </c>
      <c r="E929" s="56">
        <f t="shared" si="29"/>
        <v>-6.2996960239013466E-3</v>
      </c>
    </row>
    <row r="930" spans="1:5" x14ac:dyDescent="0.3">
      <c r="A930" s="126">
        <v>45624</v>
      </c>
      <c r="B930" s="127">
        <v>23914.150390625</v>
      </c>
      <c r="C930" s="56">
        <f t="shared" si="28"/>
        <v>-1.4861029054492936E-2</v>
      </c>
      <c r="D930" s="127">
        <v>5362.2490234375</v>
      </c>
      <c r="E930" s="56">
        <f t="shared" si="29"/>
        <v>1.3395403291360797E-3</v>
      </c>
    </row>
    <row r="931" spans="1:5" x14ac:dyDescent="0.3">
      <c r="A931" s="126">
        <v>45625</v>
      </c>
      <c r="B931" s="127">
        <v>24131.099609375</v>
      </c>
      <c r="C931" s="56">
        <f t="shared" si="28"/>
        <v>9.072001940535257E-3</v>
      </c>
      <c r="D931" s="127">
        <v>5544.32666015625</v>
      </c>
      <c r="E931" s="56">
        <f t="shared" si="29"/>
        <v>3.3955460837965301E-2</v>
      </c>
    </row>
    <row r="932" spans="1:5" x14ac:dyDescent="0.3">
      <c r="A932" s="126">
        <v>45628</v>
      </c>
      <c r="B932" s="127">
        <v>24276.05078125</v>
      </c>
      <c r="C932" s="56">
        <f t="shared" si="28"/>
        <v>6.0068200049485654E-3</v>
      </c>
      <c r="D932" s="127">
        <v>5593.75146484375</v>
      </c>
      <c r="E932" s="56">
        <f t="shared" si="29"/>
        <v>8.9144828068459248E-3</v>
      </c>
    </row>
    <row r="933" spans="1:5" x14ac:dyDescent="0.3">
      <c r="A933" s="126">
        <v>45629</v>
      </c>
      <c r="B933" s="127">
        <v>24457.150390625</v>
      </c>
      <c r="C933" s="56">
        <f t="shared" si="28"/>
        <v>7.4600111445999318E-3</v>
      </c>
      <c r="D933" s="127">
        <v>5539.3154296875</v>
      </c>
      <c r="E933" s="56">
        <f t="shared" si="29"/>
        <v>-9.7315791554872799E-3</v>
      </c>
    </row>
    <row r="934" spans="1:5" x14ac:dyDescent="0.3">
      <c r="A934" s="126">
        <v>45630</v>
      </c>
      <c r="B934" s="127">
        <v>24467.44921875</v>
      </c>
      <c r="C934" s="56">
        <f t="shared" si="28"/>
        <v>4.2109681465385407E-4</v>
      </c>
      <c r="D934" s="127">
        <v>5574.05029296875</v>
      </c>
      <c r="E934" s="56">
        <f t="shared" si="29"/>
        <v>6.2706057674728477E-3</v>
      </c>
    </row>
    <row r="935" spans="1:5" x14ac:dyDescent="0.3">
      <c r="A935" s="126">
        <v>45631</v>
      </c>
      <c r="B935" s="127">
        <v>24708.400390625</v>
      </c>
      <c r="C935" s="56">
        <f t="shared" si="28"/>
        <v>9.8478255628851041E-3</v>
      </c>
      <c r="D935" s="127">
        <v>5545.80029296875</v>
      </c>
      <c r="E935" s="56">
        <f t="shared" si="29"/>
        <v>-5.0681279348403496E-3</v>
      </c>
    </row>
    <row r="936" spans="1:5" x14ac:dyDescent="0.3">
      <c r="A936" s="126">
        <v>45632</v>
      </c>
      <c r="B936" s="127">
        <v>24677.80078125</v>
      </c>
      <c r="C936" s="56">
        <f t="shared" si="28"/>
        <v>-1.2384293961259507E-3</v>
      </c>
      <c r="D936" s="127">
        <v>5409.65966796875</v>
      </c>
      <c r="E936" s="56">
        <f t="shared" si="29"/>
        <v>-2.4548418227862689E-2</v>
      </c>
    </row>
    <row r="937" spans="1:5" x14ac:dyDescent="0.3">
      <c r="A937" s="126">
        <v>45635</v>
      </c>
      <c r="B937" s="127">
        <v>24619</v>
      </c>
      <c r="C937" s="56">
        <f t="shared" si="28"/>
        <v>-2.3827399277279726E-3</v>
      </c>
      <c r="D937" s="127">
        <v>5389.2216796875</v>
      </c>
      <c r="E937" s="56">
        <f t="shared" si="29"/>
        <v>-3.778054357516436E-3</v>
      </c>
    </row>
    <row r="938" spans="1:5" x14ac:dyDescent="0.3">
      <c r="A938" s="126">
        <v>45636</v>
      </c>
      <c r="B938" s="127">
        <v>24610.05078125</v>
      </c>
      <c r="C938" s="56">
        <f t="shared" si="28"/>
        <v>-3.6350862139000739E-4</v>
      </c>
      <c r="D938" s="127">
        <v>5364.5087890625</v>
      </c>
      <c r="E938" s="56">
        <f t="shared" si="29"/>
        <v>-4.5856140448156113E-3</v>
      </c>
    </row>
    <row r="939" spans="1:5" x14ac:dyDescent="0.3">
      <c r="A939" s="126">
        <v>45637</v>
      </c>
      <c r="B939" s="127">
        <v>24641.80078125</v>
      </c>
      <c r="C939" s="56">
        <f t="shared" si="28"/>
        <v>1.2901233029631864E-3</v>
      </c>
      <c r="D939" s="127">
        <v>5394.47900390625</v>
      </c>
      <c r="E939" s="56">
        <f t="shared" si="29"/>
        <v>5.5867584567770301E-3</v>
      </c>
    </row>
    <row r="940" spans="1:5" x14ac:dyDescent="0.3">
      <c r="A940" s="126">
        <v>45638</v>
      </c>
      <c r="B940" s="127">
        <v>24548.69921875</v>
      </c>
      <c r="C940" s="56">
        <f t="shared" si="28"/>
        <v>-3.7781963796591489E-3</v>
      </c>
      <c r="D940" s="127">
        <v>5340.72998046875</v>
      </c>
      <c r="E940" s="56">
        <f t="shared" si="29"/>
        <v>-9.9637098223163134E-3</v>
      </c>
    </row>
    <row r="941" spans="1:5" x14ac:dyDescent="0.3">
      <c r="A941" s="126">
        <v>45639</v>
      </c>
      <c r="B941" s="127">
        <v>24768.30078125</v>
      </c>
      <c r="C941" s="56">
        <f t="shared" si="28"/>
        <v>8.9455478085889162E-3</v>
      </c>
      <c r="D941" s="127">
        <v>5279.1201171875</v>
      </c>
      <c r="E941" s="56">
        <f t="shared" si="29"/>
        <v>-1.1535850624644906E-2</v>
      </c>
    </row>
    <row r="942" spans="1:5" x14ac:dyDescent="0.3">
      <c r="A942" s="126">
        <v>45642</v>
      </c>
      <c r="B942" s="127">
        <v>24668.25</v>
      </c>
      <c r="C942" s="56">
        <f t="shared" si="28"/>
        <v>-4.0394689217332358E-3</v>
      </c>
      <c r="D942" s="127">
        <v>5348.1484375</v>
      </c>
      <c r="E942" s="56">
        <f t="shared" si="29"/>
        <v>1.3075724510938969E-2</v>
      </c>
    </row>
    <row r="943" spans="1:5" x14ac:dyDescent="0.3">
      <c r="A943" s="126">
        <v>45643</v>
      </c>
      <c r="B943" s="127">
        <v>24336</v>
      </c>
      <c r="C943" s="56">
        <f t="shared" si="28"/>
        <v>-1.3468730047733413E-2</v>
      </c>
      <c r="D943" s="127">
        <v>5297.8876953125</v>
      </c>
      <c r="E943" s="56">
        <f t="shared" si="29"/>
        <v>-9.3977836955838612E-3</v>
      </c>
    </row>
    <row r="944" spans="1:5" x14ac:dyDescent="0.3">
      <c r="A944" s="126">
        <v>45644</v>
      </c>
      <c r="B944" s="127">
        <v>24198.849609375</v>
      </c>
      <c r="C944" s="56">
        <f t="shared" si="28"/>
        <v>-5.6356998120069557E-3</v>
      </c>
      <c r="D944" s="127">
        <v>5397.72119140625</v>
      </c>
      <c r="E944" s="56">
        <f t="shared" si="29"/>
        <v>1.8844018944018215E-2</v>
      </c>
    </row>
    <row r="945" spans="1:5" x14ac:dyDescent="0.3">
      <c r="A945" s="126">
        <v>45645</v>
      </c>
      <c r="B945" s="127">
        <v>23951.69921875</v>
      </c>
      <c r="C945" s="56">
        <f t="shared" si="28"/>
        <v>-1.0213311567061067E-2</v>
      </c>
      <c r="D945" s="127">
        <v>5398.70361328125</v>
      </c>
      <c r="E945" s="56">
        <f t="shared" si="29"/>
        <v>1.8200678400437376E-4</v>
      </c>
    </row>
    <row r="946" spans="1:5" x14ac:dyDescent="0.3">
      <c r="A946" s="126">
        <v>45646</v>
      </c>
      <c r="B946" s="127">
        <v>23587.5</v>
      </c>
      <c r="C946" s="56">
        <f t="shared" si="28"/>
        <v>-1.520556915080562E-2</v>
      </c>
      <c r="D946" s="127">
        <v>5333.11474609375</v>
      </c>
      <c r="E946" s="56">
        <f t="shared" si="29"/>
        <v>-1.2149003147004733E-2</v>
      </c>
    </row>
    <row r="947" spans="1:5" x14ac:dyDescent="0.3">
      <c r="A947" s="126">
        <v>45649</v>
      </c>
      <c r="B947" s="127">
        <v>23753.44921875</v>
      </c>
      <c r="C947" s="56">
        <f t="shared" si="28"/>
        <v>7.0354729729729115E-3</v>
      </c>
      <c r="D947" s="127">
        <v>5386.56884765625</v>
      </c>
      <c r="E947" s="56">
        <f t="shared" si="29"/>
        <v>1.0023054838947942E-2</v>
      </c>
    </row>
    <row r="948" spans="1:5" x14ac:dyDescent="0.3">
      <c r="A948" s="126">
        <v>45650</v>
      </c>
      <c r="B948" s="127">
        <v>23727.650390625</v>
      </c>
      <c r="C948" s="56">
        <f t="shared" si="28"/>
        <v>-1.0861087115143775E-3</v>
      </c>
      <c r="D948" s="127">
        <v>5312.283203125</v>
      </c>
      <c r="E948" s="56">
        <f t="shared" si="29"/>
        <v>-1.3790902266769045E-2</v>
      </c>
    </row>
    <row r="949" spans="1:5" x14ac:dyDescent="0.3">
      <c r="A949" s="126">
        <v>45652</v>
      </c>
      <c r="B949" s="127">
        <v>23750.19921875</v>
      </c>
      <c r="C949" s="56">
        <f t="shared" si="28"/>
        <v>9.5031862631911324E-4</v>
      </c>
      <c r="D949" s="127">
        <v>5314.54345703125</v>
      </c>
      <c r="E949" s="56">
        <f t="shared" si="29"/>
        <v>4.2547692203620535E-4</v>
      </c>
    </row>
    <row r="950" spans="1:5" x14ac:dyDescent="0.3">
      <c r="A950" s="126">
        <v>45653</v>
      </c>
      <c r="B950" s="127">
        <v>23813.400390625</v>
      </c>
      <c r="C950" s="56">
        <f t="shared" si="28"/>
        <v>2.6610796521280289E-3</v>
      </c>
      <c r="D950" s="127">
        <v>5387.35498046875</v>
      </c>
      <c r="E950" s="56">
        <f t="shared" si="29"/>
        <v>1.3700428649457974E-2</v>
      </c>
    </row>
    <row r="951" spans="1:5" x14ac:dyDescent="0.3">
      <c r="A951" s="126">
        <v>45656</v>
      </c>
      <c r="B951" s="127">
        <v>23644.900390625</v>
      </c>
      <c r="C951" s="56">
        <f t="shared" si="28"/>
        <v>-7.0758479358679072E-3</v>
      </c>
      <c r="D951" s="127">
        <v>5472.3994140625</v>
      </c>
      <c r="E951" s="56">
        <f t="shared" si="29"/>
        <v>1.5785934638067989E-2</v>
      </c>
    </row>
    <row r="952" spans="1:5" x14ac:dyDescent="0.3">
      <c r="A952" s="126">
        <v>45657</v>
      </c>
      <c r="B952" s="127">
        <v>23644.80078125</v>
      </c>
      <c r="C952" s="56">
        <f t="shared" si="28"/>
        <v>-4.2127212783737988E-6</v>
      </c>
      <c r="D952" s="127">
        <v>5535.92529296875</v>
      </c>
      <c r="E952" s="56">
        <f t="shared" si="29"/>
        <v>1.1608414170757753E-2</v>
      </c>
    </row>
    <row r="953" spans="1:5" x14ac:dyDescent="0.3">
      <c r="A953" s="126">
        <v>45658</v>
      </c>
      <c r="B953" s="127">
        <v>23742.900390625</v>
      </c>
      <c r="C953" s="56">
        <f t="shared" si="28"/>
        <v>4.1488871182535636E-3</v>
      </c>
      <c r="D953" s="127">
        <v>5474.119140625</v>
      </c>
      <c r="E953" s="56">
        <f t="shared" si="29"/>
        <v>-1.1164556794552638E-2</v>
      </c>
    </row>
    <row r="954" spans="1:5" x14ac:dyDescent="0.3">
      <c r="A954" s="126">
        <v>45659</v>
      </c>
      <c r="B954" s="127">
        <v>24188.650390625</v>
      </c>
      <c r="C954" s="56">
        <f t="shared" si="28"/>
        <v>1.8774033191665485E-2</v>
      </c>
      <c r="D954" s="127">
        <v>5482.71728515625</v>
      </c>
      <c r="E954" s="56">
        <f t="shared" si="29"/>
        <v>1.5706900617928898E-3</v>
      </c>
    </row>
    <row r="955" spans="1:5" x14ac:dyDescent="0.3">
      <c r="A955" s="126">
        <v>45660</v>
      </c>
      <c r="B955" s="127">
        <v>24004.75</v>
      </c>
      <c r="C955" s="56">
        <f t="shared" si="28"/>
        <v>-7.6027553276091231E-3</v>
      </c>
      <c r="D955" s="127">
        <v>5406.9580078125</v>
      </c>
      <c r="E955" s="56">
        <f t="shared" si="29"/>
        <v>-1.3817834005203644E-2</v>
      </c>
    </row>
    <row r="956" spans="1:5" x14ac:dyDescent="0.3">
      <c r="A956" s="126">
        <v>45663</v>
      </c>
      <c r="B956" s="127">
        <v>23616.05078125</v>
      </c>
      <c r="C956" s="56">
        <f t="shared" si="28"/>
        <v>-1.6192595996625703E-2</v>
      </c>
      <c r="D956" s="127">
        <v>5430.88427734375</v>
      </c>
      <c r="E956" s="56">
        <f t="shared" si="29"/>
        <v>4.4250888386185849E-3</v>
      </c>
    </row>
    <row r="957" spans="1:5" x14ac:dyDescent="0.3">
      <c r="A957" s="126">
        <v>45664</v>
      </c>
      <c r="B957" s="127">
        <v>23707.900390625</v>
      </c>
      <c r="C957" s="56">
        <f t="shared" si="28"/>
        <v>3.8892874268343647E-3</v>
      </c>
      <c r="D957" s="127">
        <v>5466.0615234375</v>
      </c>
      <c r="E957" s="56">
        <f t="shared" si="29"/>
        <v>6.4772593738555706E-3</v>
      </c>
    </row>
    <row r="958" spans="1:5" x14ac:dyDescent="0.3">
      <c r="A958" s="126">
        <v>45665</v>
      </c>
      <c r="B958" s="127">
        <v>23688.94921875</v>
      </c>
      <c r="C958" s="56">
        <f t="shared" si="28"/>
        <v>-7.9936103841971029E-4</v>
      </c>
      <c r="D958" s="127">
        <v>5464.9814453125</v>
      </c>
      <c r="E958" s="56">
        <f t="shared" si="29"/>
        <v>-1.9759714016553964E-4</v>
      </c>
    </row>
    <row r="959" spans="1:5" x14ac:dyDescent="0.3">
      <c r="A959" s="126">
        <v>45666</v>
      </c>
      <c r="B959" s="127">
        <v>23526.5</v>
      </c>
      <c r="C959" s="56">
        <f t="shared" si="28"/>
        <v>-6.8575949591475061E-3</v>
      </c>
      <c r="D959" s="127">
        <v>5359.10498046875</v>
      </c>
      <c r="E959" s="56">
        <f t="shared" si="29"/>
        <v>-1.9373618355934874E-2</v>
      </c>
    </row>
    <row r="960" spans="1:5" x14ac:dyDescent="0.3">
      <c r="A960" s="126">
        <v>45667</v>
      </c>
      <c r="B960" s="127">
        <v>23431.5</v>
      </c>
      <c r="C960" s="56">
        <f t="shared" si="28"/>
        <v>-4.037999702463213E-3</v>
      </c>
      <c r="D960" s="127">
        <v>5282.55908203125</v>
      </c>
      <c r="E960" s="56">
        <f t="shared" si="29"/>
        <v>-1.428333625045064E-2</v>
      </c>
    </row>
    <row r="961" spans="1:5" x14ac:dyDescent="0.3">
      <c r="A961" s="126">
        <v>45670</v>
      </c>
      <c r="B961" s="127">
        <v>23085.94921875</v>
      </c>
      <c r="C961" s="56">
        <f t="shared" si="28"/>
        <v>-1.4747275302477436E-2</v>
      </c>
      <c r="D961" s="127">
        <v>5136.494140625</v>
      </c>
      <c r="E961" s="56">
        <f t="shared" si="29"/>
        <v>-2.7650413206563695E-2</v>
      </c>
    </row>
    <row r="962" spans="1:5" x14ac:dyDescent="0.3">
      <c r="A962" s="126">
        <v>45671</v>
      </c>
      <c r="B962" s="127">
        <v>23176.05078125</v>
      </c>
      <c r="C962" s="56">
        <f t="shared" si="28"/>
        <v>3.9028744993869768E-3</v>
      </c>
      <c r="D962" s="127">
        <v>5173.24365234375</v>
      </c>
      <c r="E962" s="56">
        <f t="shared" si="29"/>
        <v>7.1545904098468949E-3</v>
      </c>
    </row>
    <row r="963" spans="1:5" x14ac:dyDescent="0.3">
      <c r="A963" s="126">
        <v>45672</v>
      </c>
      <c r="B963" s="127">
        <v>23213.19921875</v>
      </c>
      <c r="C963" s="56">
        <f t="shared" si="28"/>
        <v>1.6028803979861728E-3</v>
      </c>
      <c r="D963" s="127">
        <v>5111.044921875</v>
      </c>
      <c r="E963" s="56">
        <f t="shared" si="29"/>
        <v>-1.2023158901586006E-2</v>
      </c>
    </row>
    <row r="964" spans="1:5" x14ac:dyDescent="0.3">
      <c r="A964" s="126">
        <v>45673</v>
      </c>
      <c r="B964" s="127">
        <v>23311.80078125</v>
      </c>
      <c r="C964" s="56">
        <f t="shared" si="28"/>
        <v>4.2476507253836893E-3</v>
      </c>
      <c r="D964" s="127">
        <v>5091.68701171875</v>
      </c>
      <c r="E964" s="56">
        <f t="shared" si="29"/>
        <v>-3.7874662524289837E-3</v>
      </c>
    </row>
    <row r="965" spans="1:5" x14ac:dyDescent="0.3">
      <c r="A965" s="126">
        <v>45674</v>
      </c>
      <c r="B965" s="127">
        <v>23203.19921875</v>
      </c>
      <c r="C965" s="56">
        <f t="shared" si="28"/>
        <v>-4.6586517926727744E-3</v>
      </c>
      <c r="D965" s="127">
        <v>5164.44970703125</v>
      </c>
      <c r="E965" s="56">
        <f t="shared" si="29"/>
        <v>1.4290488622932473E-2</v>
      </c>
    </row>
    <row r="966" spans="1:5" x14ac:dyDescent="0.3">
      <c r="A966" s="126">
        <v>45677</v>
      </c>
      <c r="B966" s="127">
        <v>23344.75</v>
      </c>
      <c r="C966" s="56">
        <f t="shared" si="28"/>
        <v>6.100485537167577E-3</v>
      </c>
      <c r="D966" s="127">
        <v>5146.91015625</v>
      </c>
      <c r="E966" s="56">
        <f t="shared" si="29"/>
        <v>-3.3962090399235478E-3</v>
      </c>
    </row>
    <row r="967" spans="1:5" x14ac:dyDescent="0.3">
      <c r="A967" s="126">
        <v>45678</v>
      </c>
      <c r="B967" s="127">
        <v>23024.650390625</v>
      </c>
      <c r="C967" s="56">
        <f t="shared" ref="C967:C1030" si="30">B967/B966-1</f>
        <v>-1.3711845677293555E-2</v>
      </c>
      <c r="D967" s="127">
        <v>5087.26513671875</v>
      </c>
      <c r="E967" s="56">
        <f t="shared" ref="E967:E1030" si="31">D967/D966-1</f>
        <v>-1.1588509944907788E-2</v>
      </c>
    </row>
    <row r="968" spans="1:5" x14ac:dyDescent="0.3">
      <c r="A968" s="126">
        <v>45679</v>
      </c>
      <c r="B968" s="127">
        <v>23155.349609375</v>
      </c>
      <c r="C968" s="56">
        <f t="shared" si="30"/>
        <v>5.6764909144164655E-3</v>
      </c>
      <c r="D968" s="127">
        <v>5061.86474609375</v>
      </c>
      <c r="E968" s="56">
        <f t="shared" si="31"/>
        <v>-4.9929362717240355E-3</v>
      </c>
    </row>
    <row r="969" spans="1:5" x14ac:dyDescent="0.3">
      <c r="A969" s="126">
        <v>45680</v>
      </c>
      <c r="B969" s="127">
        <v>23205.349609375</v>
      </c>
      <c r="C969" s="56">
        <f t="shared" si="30"/>
        <v>2.1593282262408753E-3</v>
      </c>
      <c r="D969" s="127">
        <v>5093.35791015625</v>
      </c>
      <c r="E969" s="56">
        <f t="shared" si="31"/>
        <v>6.2216526205689515E-3</v>
      </c>
    </row>
    <row r="970" spans="1:5" x14ac:dyDescent="0.3">
      <c r="A970" s="126">
        <v>45681</v>
      </c>
      <c r="B970" s="127">
        <v>23092.19921875</v>
      </c>
      <c r="C970" s="56">
        <f t="shared" si="30"/>
        <v>-4.8760476583936674E-3</v>
      </c>
      <c r="D970" s="127">
        <v>4935.3544921875</v>
      </c>
      <c r="E970" s="56">
        <f t="shared" si="31"/>
        <v>-3.1021463787904713E-2</v>
      </c>
    </row>
    <row r="971" spans="1:5" x14ac:dyDescent="0.3">
      <c r="A971" s="126">
        <v>45684</v>
      </c>
      <c r="B971" s="127">
        <v>22829.150390625</v>
      </c>
      <c r="C971" s="56">
        <f t="shared" si="30"/>
        <v>-1.1391241935562957E-2</v>
      </c>
      <c r="D971" s="127">
        <v>4876.54541015625</v>
      </c>
      <c r="E971" s="56">
        <f t="shared" si="31"/>
        <v>-1.1915878003159186E-2</v>
      </c>
    </row>
    <row r="972" spans="1:5" x14ac:dyDescent="0.3">
      <c r="A972" s="126">
        <v>45685</v>
      </c>
      <c r="B972" s="127">
        <v>22957.25</v>
      </c>
      <c r="C972" s="56">
        <f t="shared" si="30"/>
        <v>5.6112298172781294E-3</v>
      </c>
      <c r="D972" s="127">
        <v>4830.55859375</v>
      </c>
      <c r="E972" s="56">
        <f t="shared" si="31"/>
        <v>-9.4302036664057898E-3</v>
      </c>
    </row>
    <row r="973" spans="1:5" x14ac:dyDescent="0.3">
      <c r="A973" s="126">
        <v>45686</v>
      </c>
      <c r="B973" s="127">
        <v>23163.099609375</v>
      </c>
      <c r="C973" s="56">
        <f t="shared" si="30"/>
        <v>8.966649288351114E-3</v>
      </c>
      <c r="D973" s="127">
        <v>4917.2734375</v>
      </c>
      <c r="E973" s="56">
        <f t="shared" si="31"/>
        <v>1.7951307714638931E-2</v>
      </c>
    </row>
    <row r="974" spans="1:5" x14ac:dyDescent="0.3">
      <c r="A974" s="126">
        <v>45687</v>
      </c>
      <c r="B974" s="127">
        <v>23249.5</v>
      </c>
      <c r="C974" s="56">
        <f t="shared" si="30"/>
        <v>3.730087599762788E-3</v>
      </c>
      <c r="D974" s="127">
        <v>4962.572265625</v>
      </c>
      <c r="E974" s="56">
        <f t="shared" si="31"/>
        <v>9.2121840895693641E-3</v>
      </c>
    </row>
    <row r="975" spans="1:5" x14ac:dyDescent="0.3">
      <c r="A975" s="126">
        <v>45688</v>
      </c>
      <c r="B975" s="127">
        <v>23508.400390625</v>
      </c>
      <c r="C975" s="56">
        <f t="shared" si="30"/>
        <v>1.1135740150325812E-2</v>
      </c>
      <c r="D975" s="127">
        <v>4975.00244140625</v>
      </c>
      <c r="E975" s="56">
        <f t="shared" si="31"/>
        <v>2.5047848405859163E-3</v>
      </c>
    </row>
    <row r="976" spans="1:5" x14ac:dyDescent="0.3">
      <c r="A976" s="126">
        <v>45689</v>
      </c>
      <c r="B976" s="127">
        <v>23482.150390625</v>
      </c>
      <c r="C976" s="56">
        <f t="shared" si="30"/>
        <v>-1.1166221250199504E-3</v>
      </c>
      <c r="D976" s="127">
        <v>4942.13427734375</v>
      </c>
      <c r="E976" s="56">
        <f t="shared" si="31"/>
        <v>-6.6066629010959055E-3</v>
      </c>
    </row>
    <row r="977" spans="1:5" x14ac:dyDescent="0.3">
      <c r="A977" s="126">
        <v>45691</v>
      </c>
      <c r="B977" s="127">
        <v>23361.05078125</v>
      </c>
      <c r="C977" s="56">
        <f t="shared" si="30"/>
        <v>-5.1570919766934509E-3</v>
      </c>
      <c r="D977" s="127">
        <v>4960.65625</v>
      </c>
      <c r="E977" s="56">
        <f t="shared" si="31"/>
        <v>3.7477679918898055E-3</v>
      </c>
    </row>
    <row r="978" spans="1:5" x14ac:dyDescent="0.3">
      <c r="A978" s="126">
        <v>45692</v>
      </c>
      <c r="B978" s="127">
        <v>23739.25</v>
      </c>
      <c r="C978" s="56">
        <f t="shared" si="30"/>
        <v>1.6189306820631133E-2</v>
      </c>
      <c r="D978" s="127">
        <v>5017.107421875</v>
      </c>
      <c r="E978" s="56">
        <f t="shared" si="31"/>
        <v>1.1379779011093438E-2</v>
      </c>
    </row>
    <row r="979" spans="1:5" x14ac:dyDescent="0.3">
      <c r="A979" s="126">
        <v>45693</v>
      </c>
      <c r="B979" s="127">
        <v>23696.30078125</v>
      </c>
      <c r="C979" s="56">
        <f t="shared" si="30"/>
        <v>-1.809207062143936E-3</v>
      </c>
      <c r="D979" s="127">
        <v>5028.94775390625</v>
      </c>
      <c r="E979" s="56">
        <f t="shared" si="31"/>
        <v>2.359991731415878E-3</v>
      </c>
    </row>
    <row r="980" spans="1:5" x14ac:dyDescent="0.3">
      <c r="A980" s="126">
        <v>45694</v>
      </c>
      <c r="B980" s="127">
        <v>23603.349609375</v>
      </c>
      <c r="C980" s="56">
        <f t="shared" si="30"/>
        <v>-3.9226026346081966E-3</v>
      </c>
      <c r="D980" s="127">
        <v>5164.30224609375</v>
      </c>
      <c r="E980" s="56">
        <f t="shared" si="31"/>
        <v>2.6915072259870554E-2</v>
      </c>
    </row>
    <row r="981" spans="1:5" x14ac:dyDescent="0.3">
      <c r="A981" s="126">
        <v>45695</v>
      </c>
      <c r="B981" s="127">
        <v>23559.94921875</v>
      </c>
      <c r="C981" s="56">
        <f t="shared" si="30"/>
        <v>-1.8387386257991967E-3</v>
      </c>
      <c r="D981" s="127">
        <v>5061.76708984375</v>
      </c>
      <c r="E981" s="56">
        <f t="shared" si="31"/>
        <v>-1.985460016937568E-2</v>
      </c>
    </row>
    <row r="982" spans="1:5" x14ac:dyDescent="0.3">
      <c r="A982" s="126">
        <v>45698</v>
      </c>
      <c r="B982" s="127">
        <v>23381.599609375</v>
      </c>
      <c r="C982" s="56">
        <f t="shared" si="30"/>
        <v>-7.5700336923079092E-3</v>
      </c>
      <c r="D982" s="127">
        <v>4717.3623046875</v>
      </c>
      <c r="E982" s="56">
        <f t="shared" si="31"/>
        <v>-6.8040425219739076E-2</v>
      </c>
    </row>
    <row r="983" spans="1:5" x14ac:dyDescent="0.3">
      <c r="A983" s="126">
        <v>45699</v>
      </c>
      <c r="B983" s="127">
        <v>23071.80078125</v>
      </c>
      <c r="C983" s="56">
        <f t="shared" si="30"/>
        <v>-1.3249684936046169E-2</v>
      </c>
      <c r="D983" s="127">
        <v>4621.705078125</v>
      </c>
      <c r="E983" s="56">
        <f t="shared" si="31"/>
        <v>-2.0277693419360254E-2</v>
      </c>
    </row>
    <row r="984" spans="1:5" x14ac:dyDescent="0.3">
      <c r="A984" s="126">
        <v>45700</v>
      </c>
      <c r="B984" s="127">
        <v>23045.25</v>
      </c>
      <c r="C984" s="56">
        <f t="shared" si="30"/>
        <v>-1.1507892904301098E-3</v>
      </c>
      <c r="D984" s="127">
        <v>4626.71630859375</v>
      </c>
      <c r="E984" s="56">
        <f t="shared" si="31"/>
        <v>1.0842817497094259E-3</v>
      </c>
    </row>
    <row r="985" spans="1:5" x14ac:dyDescent="0.3">
      <c r="A985" s="126">
        <v>45701</v>
      </c>
      <c r="B985" s="127">
        <v>23031.400390625</v>
      </c>
      <c r="C985" s="56">
        <f t="shared" si="30"/>
        <v>-6.0097457719054947E-4</v>
      </c>
      <c r="D985" s="127">
        <v>4637.47607421875</v>
      </c>
      <c r="E985" s="56">
        <f t="shared" si="31"/>
        <v>2.3255728052775648E-3</v>
      </c>
    </row>
    <row r="986" spans="1:5" x14ac:dyDescent="0.3">
      <c r="A986" s="126">
        <v>45702</v>
      </c>
      <c r="B986" s="127">
        <v>22929.25</v>
      </c>
      <c r="C986" s="56">
        <f t="shared" si="30"/>
        <v>-4.4352661537063742E-3</v>
      </c>
      <c r="D986" s="127">
        <v>4606.724609375</v>
      </c>
      <c r="E986" s="56">
        <f t="shared" si="31"/>
        <v>-6.6310778431197814E-3</v>
      </c>
    </row>
    <row r="987" spans="1:5" x14ac:dyDescent="0.3">
      <c r="A987" s="126">
        <v>45705</v>
      </c>
      <c r="B987" s="127">
        <v>22959.5</v>
      </c>
      <c r="C987" s="56">
        <f t="shared" si="30"/>
        <v>1.3192755977626813E-3</v>
      </c>
      <c r="D987" s="127">
        <v>4748.14990234375</v>
      </c>
      <c r="E987" s="56">
        <f t="shared" si="31"/>
        <v>3.0699749813769994E-2</v>
      </c>
    </row>
    <row r="988" spans="1:5" x14ac:dyDescent="0.3">
      <c r="A988" s="126">
        <v>45706</v>
      </c>
      <c r="B988" s="127">
        <v>22945.30078125</v>
      </c>
      <c r="C988" s="56">
        <f t="shared" si="30"/>
        <v>-6.1844634029484258E-4</v>
      </c>
      <c r="D988" s="127">
        <v>4676.69482421875</v>
      </c>
      <c r="E988" s="56">
        <f t="shared" si="31"/>
        <v>-1.5049035854939774E-2</v>
      </c>
    </row>
    <row r="989" spans="1:5" x14ac:dyDescent="0.3">
      <c r="A989" s="126">
        <v>45707</v>
      </c>
      <c r="B989" s="127">
        <v>22932.900390625</v>
      </c>
      <c r="C989" s="56">
        <f t="shared" si="30"/>
        <v>-5.4043269004055983E-4</v>
      </c>
      <c r="D989" s="127">
        <v>4696.05712890625</v>
      </c>
      <c r="E989" s="56">
        <f t="shared" si="31"/>
        <v>4.140168519705556E-3</v>
      </c>
    </row>
    <row r="990" spans="1:5" x14ac:dyDescent="0.3">
      <c r="A990" s="126">
        <v>45708</v>
      </c>
      <c r="B990" s="127">
        <v>22913.150390625</v>
      </c>
      <c r="C990" s="56">
        <f t="shared" si="30"/>
        <v>-8.6120811862389068E-4</v>
      </c>
      <c r="D990" s="127">
        <v>4674.5654296875</v>
      </c>
      <c r="E990" s="56">
        <f t="shared" si="31"/>
        <v>-4.5765412619150903E-3</v>
      </c>
    </row>
    <row r="991" spans="1:5" x14ac:dyDescent="0.3">
      <c r="A991" s="126">
        <v>45709</v>
      </c>
      <c r="B991" s="127">
        <v>22795.900390625</v>
      </c>
      <c r="C991" s="56">
        <f t="shared" si="30"/>
        <v>-5.117148798882476E-3</v>
      </c>
      <c r="D991" s="127">
        <v>4556.95849609375</v>
      </c>
      <c r="E991" s="56">
        <f t="shared" si="31"/>
        <v>-2.5158902011905737E-2</v>
      </c>
    </row>
    <row r="992" spans="1:5" x14ac:dyDescent="0.3">
      <c r="A992" s="126">
        <v>45712</v>
      </c>
      <c r="B992" s="127">
        <v>22553.349609375</v>
      </c>
      <c r="C992" s="56">
        <f t="shared" si="30"/>
        <v>-1.0640105330068539E-2</v>
      </c>
      <c r="D992" s="127">
        <v>4564.68310546875</v>
      </c>
      <c r="E992" s="56">
        <f t="shared" si="31"/>
        <v>1.6951239256670636E-3</v>
      </c>
    </row>
    <row r="993" spans="1:5" x14ac:dyDescent="0.3">
      <c r="A993" s="126">
        <v>45713</v>
      </c>
      <c r="B993" s="127">
        <v>22547.55078125</v>
      </c>
      <c r="C993" s="56">
        <f t="shared" si="30"/>
        <v>-2.5711604818956513E-4</v>
      </c>
      <c r="D993" s="127">
        <v>4519.77001953125</v>
      </c>
      <c r="E993" s="56">
        <f t="shared" si="31"/>
        <v>-9.8392560665803153E-3</v>
      </c>
    </row>
    <row r="994" spans="1:5" x14ac:dyDescent="0.3">
      <c r="A994" s="126">
        <v>45715</v>
      </c>
      <c r="B994" s="127">
        <v>22545.05078125</v>
      </c>
      <c r="C994" s="56">
        <f t="shared" si="30"/>
        <v>-1.1087678764998277E-4</v>
      </c>
      <c r="D994" s="127">
        <v>4568.1005859375</v>
      </c>
      <c r="E994" s="56">
        <f t="shared" si="31"/>
        <v>1.0693147261342739E-2</v>
      </c>
    </row>
    <row r="995" spans="1:5" x14ac:dyDescent="0.3">
      <c r="A995" s="126">
        <v>45716</v>
      </c>
      <c r="B995" s="127">
        <v>22124.69921875</v>
      </c>
      <c r="C995" s="56">
        <f t="shared" si="30"/>
        <v>-1.8644959666695105E-2</v>
      </c>
      <c r="D995" s="127">
        <v>4601.47607421875</v>
      </c>
      <c r="E995" s="56">
        <f t="shared" si="31"/>
        <v>7.3062069569995725E-3</v>
      </c>
    </row>
    <row r="996" spans="1:5" x14ac:dyDescent="0.3">
      <c r="A996" s="126">
        <v>45719</v>
      </c>
      <c r="B996" s="127">
        <v>22119.30078125</v>
      </c>
      <c r="C996" s="56">
        <f t="shared" si="30"/>
        <v>-2.4400049223838316E-4</v>
      </c>
      <c r="D996" s="127">
        <v>4556.0673828125</v>
      </c>
      <c r="E996" s="56">
        <f t="shared" si="31"/>
        <v>-9.8682880610130308E-3</v>
      </c>
    </row>
    <row r="997" spans="1:5" x14ac:dyDescent="0.3">
      <c r="A997" s="126">
        <v>45720</v>
      </c>
      <c r="B997" s="127">
        <v>22082.650390625</v>
      </c>
      <c r="C997" s="56">
        <f t="shared" si="30"/>
        <v>-1.6569416451024388E-3</v>
      </c>
      <c r="D997" s="127">
        <v>4570.2294921875</v>
      </c>
      <c r="E997" s="56">
        <f t="shared" si="31"/>
        <v>3.1084064797692879E-3</v>
      </c>
    </row>
    <row r="998" spans="1:5" x14ac:dyDescent="0.3">
      <c r="A998" s="126">
        <v>45721</v>
      </c>
      <c r="B998" s="127">
        <v>22337.30078125</v>
      </c>
      <c r="C998" s="56">
        <f t="shared" si="30"/>
        <v>1.1531695069225467E-2</v>
      </c>
      <c r="D998" s="127">
        <v>4651.29150390625</v>
      </c>
      <c r="E998" s="56">
        <f t="shared" si="31"/>
        <v>1.7736967444921481E-2</v>
      </c>
    </row>
    <row r="999" spans="1:5" x14ac:dyDescent="0.3">
      <c r="A999" s="126">
        <v>45722</v>
      </c>
      <c r="B999" s="127">
        <v>22544.69921875</v>
      </c>
      <c r="C999" s="56">
        <f t="shared" si="30"/>
        <v>9.2848477768670001E-3</v>
      </c>
      <c r="D999" s="127">
        <v>4700.513671875</v>
      </c>
      <c r="E999" s="56">
        <f t="shared" si="31"/>
        <v>1.0582473260902336E-2</v>
      </c>
    </row>
    <row r="1000" spans="1:5" x14ac:dyDescent="0.3">
      <c r="A1000" s="126">
        <v>45723</v>
      </c>
      <c r="B1000" s="127">
        <v>22552.5</v>
      </c>
      <c r="C1000" s="56">
        <f t="shared" si="30"/>
        <v>3.4601398645017767E-4</v>
      </c>
      <c r="D1000" s="127">
        <v>4692.44189453125</v>
      </c>
      <c r="E1000" s="56">
        <f t="shared" si="31"/>
        <v>-1.7172117575248169E-3</v>
      </c>
    </row>
    <row r="1001" spans="1:5" x14ac:dyDescent="0.3">
      <c r="A1001" s="126">
        <v>45726</v>
      </c>
      <c r="B1001" s="127">
        <v>22460.30078125</v>
      </c>
      <c r="C1001" s="56">
        <f t="shared" si="30"/>
        <v>-4.0882039130917258E-3</v>
      </c>
      <c r="D1001" s="127">
        <v>4587.90771484375</v>
      </c>
      <c r="E1001" s="56">
        <f t="shared" si="31"/>
        <v>-2.227713886224747E-2</v>
      </c>
    </row>
    <row r="1002" spans="1:5" x14ac:dyDescent="0.3">
      <c r="A1002" s="126">
        <v>45727</v>
      </c>
      <c r="B1002" s="127">
        <v>22497.900390625</v>
      </c>
      <c r="C1002" s="56">
        <f t="shared" si="30"/>
        <v>1.6740474556060647E-3</v>
      </c>
      <c r="D1002" s="127">
        <v>4731.75927734375</v>
      </c>
      <c r="E1002" s="56">
        <f t="shared" si="31"/>
        <v>3.1354502191615952E-2</v>
      </c>
    </row>
    <row r="1003" spans="1:5" x14ac:dyDescent="0.3">
      <c r="A1003" s="126">
        <v>45728</v>
      </c>
      <c r="B1003" s="127">
        <v>22470.5</v>
      </c>
      <c r="C1003" s="56">
        <f t="shared" si="30"/>
        <v>-1.2179087892316698E-3</v>
      </c>
      <c r="D1003" s="127">
        <v>4703.6826171875</v>
      </c>
      <c r="E1003" s="56">
        <f t="shared" si="31"/>
        <v>-5.9336619871354079E-3</v>
      </c>
    </row>
    <row r="1004" spans="1:5" x14ac:dyDescent="0.3">
      <c r="A1004" s="126">
        <v>45729</v>
      </c>
      <c r="B1004" s="127">
        <v>22397.19921875</v>
      </c>
      <c r="C1004" s="56">
        <f t="shared" si="30"/>
        <v>-3.2620894617386709E-3</v>
      </c>
      <c r="D1004" s="127">
        <v>4661.6416015625</v>
      </c>
      <c r="E1004" s="56">
        <f t="shared" si="31"/>
        <v>-8.9378937837727435E-3</v>
      </c>
    </row>
    <row r="1005" spans="1:5" x14ac:dyDescent="0.3">
      <c r="A1005" s="126">
        <v>45733</v>
      </c>
      <c r="B1005" s="127">
        <v>22508.75</v>
      </c>
      <c r="C1005" s="56">
        <f t="shared" si="30"/>
        <v>4.980568336268254E-3</v>
      </c>
      <c r="D1005" s="127">
        <v>4771.77099609375</v>
      </c>
      <c r="E1005" s="56">
        <f t="shared" si="31"/>
        <v>2.3624594926889397E-2</v>
      </c>
    </row>
    <row r="1006" spans="1:5" x14ac:dyDescent="0.3">
      <c r="A1006" s="126">
        <v>45734</v>
      </c>
      <c r="B1006" s="127">
        <v>22834.30078125</v>
      </c>
      <c r="C1006" s="56">
        <f t="shared" si="30"/>
        <v>1.446329899483545E-2</v>
      </c>
      <c r="D1006" s="127">
        <v>4771.77099609375</v>
      </c>
      <c r="E1006" s="56">
        <f t="shared" si="31"/>
        <v>0</v>
      </c>
    </row>
    <row r="1007" spans="1:5" x14ac:dyDescent="0.3">
      <c r="A1007" s="126">
        <v>45735</v>
      </c>
      <c r="B1007" s="127">
        <v>22907.599609375</v>
      </c>
      <c r="C1007" s="56">
        <f t="shared" si="30"/>
        <v>3.2100316461272094E-3</v>
      </c>
      <c r="D1007" s="127">
        <v>4805.0966796875</v>
      </c>
      <c r="E1007" s="56">
        <f t="shared" si="31"/>
        <v>6.9839234994786281E-3</v>
      </c>
    </row>
    <row r="1008" spans="1:5" x14ac:dyDescent="0.3">
      <c r="A1008" s="126">
        <v>45736</v>
      </c>
      <c r="B1008" s="127">
        <v>23190.650390625</v>
      </c>
      <c r="C1008" s="56">
        <f t="shared" si="30"/>
        <v>1.2356195589090069E-2</v>
      </c>
      <c r="D1008" s="127">
        <v>4858.9736328125</v>
      </c>
      <c r="E1008" s="56">
        <f t="shared" si="31"/>
        <v>1.1212459751903214E-2</v>
      </c>
    </row>
    <row r="1009" spans="1:5" x14ac:dyDescent="0.3">
      <c r="A1009" s="126">
        <v>45737</v>
      </c>
      <c r="B1009" s="127">
        <v>23350.400390625</v>
      </c>
      <c r="C1009" s="56">
        <f t="shared" si="30"/>
        <v>6.8885519512889015E-3</v>
      </c>
      <c r="D1009" s="127">
        <v>4931.072265625</v>
      </c>
      <c r="E1009" s="56">
        <f t="shared" si="31"/>
        <v>1.4838243271299234E-2</v>
      </c>
    </row>
    <row r="1010" spans="1:5" x14ac:dyDescent="0.3">
      <c r="A1010" s="126">
        <v>45740</v>
      </c>
      <c r="B1010" s="127">
        <v>23658.349609375</v>
      </c>
      <c r="C1010" s="56">
        <f t="shared" si="30"/>
        <v>1.3188177230298859E-2</v>
      </c>
      <c r="D1010" s="127">
        <v>5003.91455078125</v>
      </c>
      <c r="E1010" s="56">
        <f t="shared" si="31"/>
        <v>1.4772098487390029E-2</v>
      </c>
    </row>
    <row r="1011" spans="1:5" x14ac:dyDescent="0.3">
      <c r="A1011" s="126">
        <v>45741</v>
      </c>
      <c r="B1011" s="127">
        <v>23668.650390625</v>
      </c>
      <c r="C1011" s="56">
        <f t="shared" si="30"/>
        <v>4.3539728764163677E-4</v>
      </c>
      <c r="D1011" s="127">
        <v>4984.7509765625</v>
      </c>
      <c r="E1011" s="56">
        <f t="shared" si="31"/>
        <v>-3.8297165197911376E-3</v>
      </c>
    </row>
    <row r="1012" spans="1:5" x14ac:dyDescent="0.3">
      <c r="A1012" s="126">
        <v>45742</v>
      </c>
      <c r="B1012" s="127">
        <v>23486.849609375</v>
      </c>
      <c r="C1012" s="56">
        <f t="shared" si="30"/>
        <v>-7.6810793285454482E-3</v>
      </c>
      <c r="D1012" s="127">
        <v>4955.03955078125</v>
      </c>
      <c r="E1012" s="56">
        <f t="shared" si="31"/>
        <v>-5.9604634054837291E-3</v>
      </c>
    </row>
    <row r="1013" spans="1:5" x14ac:dyDescent="0.3">
      <c r="A1013" s="126">
        <v>45743</v>
      </c>
      <c r="B1013" s="127">
        <v>23591.94921875</v>
      </c>
      <c r="C1013" s="56">
        <f t="shared" si="30"/>
        <v>4.4748278770025962E-3</v>
      </c>
      <c r="D1013" s="127">
        <v>4912.40380859375</v>
      </c>
      <c r="E1013" s="56">
        <f t="shared" si="31"/>
        <v>-8.6045210639696945E-3</v>
      </c>
    </row>
    <row r="1014" spans="1:5" x14ac:dyDescent="0.3">
      <c r="A1014" s="126">
        <v>45744</v>
      </c>
      <c r="B1014" s="127">
        <v>23519.349609375</v>
      </c>
      <c r="C1014" s="56">
        <f t="shared" si="30"/>
        <v>-3.0773044101545244E-3</v>
      </c>
      <c r="D1014" s="127">
        <v>4834.70947265625</v>
      </c>
      <c r="E1014" s="56">
        <f t="shared" si="31"/>
        <v>-1.5815950594611494E-2</v>
      </c>
    </row>
    <row r="1015" spans="1:5" x14ac:dyDescent="0.3">
      <c r="A1015" s="126">
        <v>45748</v>
      </c>
      <c r="B1015" s="127">
        <v>23165.69921875</v>
      </c>
      <c r="C1015" s="56">
        <f t="shared" si="30"/>
        <v>-1.5036571865236992E-2</v>
      </c>
      <c r="D1015" s="127">
        <v>4789.00341796875</v>
      </c>
      <c r="E1015" s="56">
        <f t="shared" si="31"/>
        <v>-9.4537334551332286E-3</v>
      </c>
    </row>
    <row r="1016" spans="1:5" x14ac:dyDescent="0.3">
      <c r="A1016" s="126">
        <v>45749</v>
      </c>
      <c r="B1016" s="127">
        <v>23332.349609375</v>
      </c>
      <c r="C1016" s="56">
        <f t="shared" si="30"/>
        <v>7.1938424586863725E-3</v>
      </c>
      <c r="D1016" s="127">
        <v>4840.65185546875</v>
      </c>
      <c r="E1016" s="56">
        <f t="shared" si="31"/>
        <v>1.0784798629754677E-2</v>
      </c>
    </row>
    <row r="1017" spans="1:5" x14ac:dyDescent="0.3">
      <c r="A1017" s="126">
        <v>45750</v>
      </c>
      <c r="B1017" s="127">
        <v>23250.099609375</v>
      </c>
      <c r="C1017" s="56">
        <f t="shared" si="30"/>
        <v>-3.5251486188494496E-3</v>
      </c>
      <c r="D1017" s="127">
        <v>4923.69384765625</v>
      </c>
      <c r="E1017" s="56">
        <f t="shared" si="31"/>
        <v>1.7155125934884774E-2</v>
      </c>
    </row>
    <row r="1018" spans="1:5" x14ac:dyDescent="0.3">
      <c r="A1018" s="126">
        <v>45751</v>
      </c>
      <c r="B1018" s="127">
        <v>22904.44921875</v>
      </c>
      <c r="C1018" s="56">
        <f t="shared" si="30"/>
        <v>-1.4866619775066536E-2</v>
      </c>
      <c r="D1018" s="127">
        <v>4782.21923828125</v>
      </c>
      <c r="E1018" s="56">
        <f t="shared" si="31"/>
        <v>-2.87334293626611E-2</v>
      </c>
    </row>
    <row r="1019" spans="1:5" x14ac:dyDescent="0.3">
      <c r="A1019" s="126">
        <v>45754</v>
      </c>
      <c r="B1019" s="127">
        <v>22161.599609375</v>
      </c>
      <c r="C1019" s="56">
        <f t="shared" si="30"/>
        <v>-3.2432546283055363E-2</v>
      </c>
      <c r="D1019" s="127">
        <v>4655.25341796875</v>
      </c>
      <c r="E1019" s="56">
        <f t="shared" si="31"/>
        <v>-2.6549560776333636E-2</v>
      </c>
    </row>
    <row r="1020" spans="1:5" x14ac:dyDescent="0.3">
      <c r="A1020" s="126">
        <v>45755</v>
      </c>
      <c r="B1020" s="127">
        <v>22535.849609375</v>
      </c>
      <c r="C1020" s="56">
        <f t="shared" si="30"/>
        <v>1.6887318902814252E-2</v>
      </c>
      <c r="D1020" s="127">
        <v>4790.58740234375</v>
      </c>
      <c r="E1020" s="56">
        <f t="shared" si="31"/>
        <v>2.9071238926032805E-2</v>
      </c>
    </row>
    <row r="1021" spans="1:5" x14ac:dyDescent="0.3">
      <c r="A1021" s="126">
        <v>45756</v>
      </c>
      <c r="B1021" s="127">
        <v>22399.150390625</v>
      </c>
      <c r="C1021" s="56">
        <f t="shared" si="30"/>
        <v>-6.0658560080705248E-3</v>
      </c>
      <c r="D1021" s="127">
        <v>4792.271484375</v>
      </c>
      <c r="E1021" s="56">
        <f t="shared" si="31"/>
        <v>3.5153977786239743E-4</v>
      </c>
    </row>
    <row r="1022" spans="1:5" x14ac:dyDescent="0.3">
      <c r="A1022" s="126">
        <v>45758</v>
      </c>
      <c r="B1022" s="127">
        <v>22828.55078125</v>
      </c>
      <c r="C1022" s="56">
        <f t="shared" si="30"/>
        <v>1.9170387409190415E-2</v>
      </c>
      <c r="D1022" s="127">
        <v>4840.40380859375</v>
      </c>
      <c r="E1022" s="56">
        <f t="shared" si="31"/>
        <v>1.0043739044351518E-2</v>
      </c>
    </row>
    <row r="1023" spans="1:5" x14ac:dyDescent="0.3">
      <c r="A1023" s="126">
        <v>45762</v>
      </c>
      <c r="B1023" s="127">
        <v>23328.55078125</v>
      </c>
      <c r="C1023" s="56">
        <f t="shared" si="30"/>
        <v>2.1902397782108451E-2</v>
      </c>
      <c r="D1023" s="127">
        <v>4873.43212890625</v>
      </c>
      <c r="E1023" s="56">
        <f t="shared" si="31"/>
        <v>6.8234638304063289E-3</v>
      </c>
    </row>
    <row r="1024" spans="1:5" x14ac:dyDescent="0.3">
      <c r="A1024" s="126">
        <v>45763</v>
      </c>
      <c r="B1024" s="127">
        <v>23437.19921875</v>
      </c>
      <c r="C1024" s="56">
        <f t="shared" si="30"/>
        <v>4.6573162010270508E-3</v>
      </c>
      <c r="D1024" s="127">
        <v>4909.87841796875</v>
      </c>
      <c r="E1024" s="56">
        <f t="shared" si="31"/>
        <v>7.4785670752082201E-3</v>
      </c>
    </row>
    <row r="1025" spans="1:5" x14ac:dyDescent="0.3">
      <c r="A1025" s="126">
        <v>45764</v>
      </c>
      <c r="B1025" s="127">
        <v>23851.650390625</v>
      </c>
      <c r="C1025" s="56">
        <f t="shared" si="30"/>
        <v>1.7683476937954135E-2</v>
      </c>
      <c r="D1025" s="127">
        <v>4905.61962890625</v>
      </c>
      <c r="E1025" s="56">
        <f t="shared" si="31"/>
        <v>-8.6739195962859394E-4</v>
      </c>
    </row>
    <row r="1026" spans="1:5" x14ac:dyDescent="0.3">
      <c r="A1026" s="126">
        <v>45768</v>
      </c>
      <c r="B1026" s="127">
        <v>24125.55078125</v>
      </c>
      <c r="C1026" s="56">
        <f t="shared" si="30"/>
        <v>1.1483498464016417E-2</v>
      </c>
      <c r="D1026" s="127">
        <v>4952.2666015625</v>
      </c>
      <c r="E1026" s="56">
        <f t="shared" si="31"/>
        <v>9.5088849492903638E-3</v>
      </c>
    </row>
    <row r="1027" spans="1:5" x14ac:dyDescent="0.3">
      <c r="A1027" s="126">
        <v>45769</v>
      </c>
      <c r="B1027" s="127">
        <v>24167.25</v>
      </c>
      <c r="C1027" s="56">
        <f t="shared" si="30"/>
        <v>1.7284255654137493E-3</v>
      </c>
      <c r="D1027" s="127">
        <v>4965.33984375</v>
      </c>
      <c r="E1027" s="56">
        <f t="shared" si="31"/>
        <v>2.63985024218516E-3</v>
      </c>
    </row>
    <row r="1028" spans="1:5" x14ac:dyDescent="0.3">
      <c r="A1028" s="126">
        <v>45770</v>
      </c>
      <c r="B1028" s="127">
        <v>24328.94921875</v>
      </c>
      <c r="C1028" s="56">
        <f t="shared" si="30"/>
        <v>6.6908406521222208E-3</v>
      </c>
      <c r="D1028" s="127">
        <v>5182.62744140625</v>
      </c>
      <c r="E1028" s="56">
        <f t="shared" si="31"/>
        <v>4.376087125833994E-2</v>
      </c>
    </row>
    <row r="1029" spans="1:5" x14ac:dyDescent="0.3">
      <c r="A1029" s="126">
        <v>45771</v>
      </c>
      <c r="B1029" s="127">
        <v>24246.69921875</v>
      </c>
      <c r="C1029" s="56">
        <f t="shared" si="30"/>
        <v>-3.3807460922566923E-3</v>
      </c>
      <c r="D1029" s="127">
        <v>5151.1337890625</v>
      </c>
      <c r="E1029" s="56">
        <f t="shared" si="31"/>
        <v>-6.0767733547917313E-3</v>
      </c>
    </row>
    <row r="1030" spans="1:5" x14ac:dyDescent="0.3">
      <c r="A1030" s="126">
        <v>45772</v>
      </c>
      <c r="B1030" s="127">
        <v>24039.349609375</v>
      </c>
      <c r="C1030" s="56">
        <f t="shared" si="30"/>
        <v>-8.5516633626838701E-3</v>
      </c>
      <c r="D1030" s="127">
        <v>4985.0478515625</v>
      </c>
      <c r="E1030" s="56">
        <f t="shared" si="31"/>
        <v>-3.2242598290235347E-2</v>
      </c>
    </row>
    <row r="1031" spans="1:5" x14ac:dyDescent="0.3">
      <c r="A1031" s="126">
        <v>45775</v>
      </c>
      <c r="B1031" s="127">
        <v>24328.5</v>
      </c>
      <c r="C1031" s="56">
        <f t="shared" ref="C1031:C1094" si="32">B1031/B1030-1</f>
        <v>1.2028211882747275E-2</v>
      </c>
      <c r="D1031" s="127">
        <v>4977.421875</v>
      </c>
      <c r="E1031" s="56">
        <f t="shared" ref="E1031:E1094" si="33">D1031/D1030-1</f>
        <v>-1.5297699820694399E-3</v>
      </c>
    </row>
    <row r="1032" spans="1:5" x14ac:dyDescent="0.3">
      <c r="A1032" s="126">
        <v>45776</v>
      </c>
      <c r="B1032" s="127">
        <v>24335.94921875</v>
      </c>
      <c r="C1032" s="56">
        <f t="shared" si="32"/>
        <v>3.0619309657398119E-4</v>
      </c>
      <c r="D1032" s="127">
        <v>4982.37353515625</v>
      </c>
      <c r="E1032" s="56">
        <f t="shared" si="33"/>
        <v>9.9482428466046713E-4</v>
      </c>
    </row>
    <row r="1033" spans="1:5" x14ac:dyDescent="0.3">
      <c r="A1033" s="126">
        <v>45777</v>
      </c>
      <c r="B1033" s="127">
        <v>24334.19921875</v>
      </c>
      <c r="C1033" s="56">
        <f t="shared" si="32"/>
        <v>-7.1910077731884847E-5</v>
      </c>
      <c r="D1033" s="127">
        <v>5066.75390625</v>
      </c>
      <c r="E1033" s="56">
        <f t="shared" si="33"/>
        <v>1.6935777797138618E-2</v>
      </c>
    </row>
    <row r="1034" spans="1:5" x14ac:dyDescent="0.3">
      <c r="A1034" s="126">
        <v>45779</v>
      </c>
      <c r="B1034" s="127">
        <v>24346.69921875</v>
      </c>
      <c r="C1034" s="56">
        <f t="shared" si="32"/>
        <v>5.1368035116472477E-4</v>
      </c>
      <c r="D1034" s="127">
        <v>5022.681640625</v>
      </c>
      <c r="E1034" s="56">
        <f t="shared" si="33"/>
        <v>-8.6983237079336639E-3</v>
      </c>
    </row>
    <row r="1035" spans="1:5" x14ac:dyDescent="0.3">
      <c r="A1035" s="126">
        <v>45782</v>
      </c>
      <c r="B1035" s="127">
        <v>24461.150390625</v>
      </c>
      <c r="C1035" s="56">
        <f t="shared" si="32"/>
        <v>4.700890697612925E-3</v>
      </c>
      <c r="D1035" s="127">
        <v>5036.54736328125</v>
      </c>
      <c r="E1035" s="56">
        <f t="shared" si="33"/>
        <v>2.7606214465396572E-3</v>
      </c>
    </row>
    <row r="1036" spans="1:5" x14ac:dyDescent="0.3">
      <c r="A1036" s="126">
        <v>45783</v>
      </c>
      <c r="B1036" s="127">
        <v>24379.599609375</v>
      </c>
      <c r="C1036" s="56">
        <f t="shared" si="32"/>
        <v>-3.3338898599493128E-3</v>
      </c>
      <c r="D1036" s="127">
        <v>4975.1435546875</v>
      </c>
      <c r="E1036" s="56">
        <f t="shared" si="33"/>
        <v>-1.2191647206856837E-2</v>
      </c>
    </row>
    <row r="1037" spans="1:5" x14ac:dyDescent="0.3">
      <c r="A1037" s="126">
        <v>45784</v>
      </c>
      <c r="B1037" s="127">
        <v>24414.400390625</v>
      </c>
      <c r="C1037" s="56">
        <f t="shared" si="32"/>
        <v>1.4274549954715887E-3</v>
      </c>
      <c r="D1037" s="127">
        <v>4984.552734375</v>
      </c>
      <c r="E1037" s="56">
        <f t="shared" si="33"/>
        <v>1.8912378274260622E-3</v>
      </c>
    </row>
    <row r="1038" spans="1:5" x14ac:dyDescent="0.3">
      <c r="A1038" s="126">
        <v>45785</v>
      </c>
      <c r="B1038" s="127">
        <v>24273.80078125</v>
      </c>
      <c r="C1038" s="56">
        <f t="shared" si="32"/>
        <v>-5.7588802970967023E-3</v>
      </c>
      <c r="D1038" s="127">
        <v>4891.95263671875</v>
      </c>
      <c r="E1038" s="56">
        <f t="shared" si="33"/>
        <v>-1.8577413579688229E-2</v>
      </c>
    </row>
    <row r="1039" spans="1:5" x14ac:dyDescent="0.3">
      <c r="A1039" s="126">
        <v>45786</v>
      </c>
      <c r="B1039" s="127">
        <v>24008</v>
      </c>
      <c r="C1039" s="56">
        <f t="shared" si="32"/>
        <v>-1.09501096942064E-2</v>
      </c>
      <c r="D1039" s="127">
        <v>4898.88525390625</v>
      </c>
      <c r="E1039" s="56">
        <f t="shared" si="33"/>
        <v>1.4171472420776432E-3</v>
      </c>
    </row>
    <row r="1040" spans="1:5" x14ac:dyDescent="0.3">
      <c r="A1040" s="126">
        <v>45789</v>
      </c>
      <c r="B1040" s="127">
        <v>24924.69921875</v>
      </c>
      <c r="C1040" s="56">
        <f t="shared" si="32"/>
        <v>3.8183073090219954E-2</v>
      </c>
      <c r="D1040" s="127">
        <v>4972.17333984375</v>
      </c>
      <c r="E1040" s="56">
        <f t="shared" si="33"/>
        <v>1.4960155655628471E-2</v>
      </c>
    </row>
    <row r="1041" spans="1:5" x14ac:dyDescent="0.3">
      <c r="A1041" s="126">
        <v>45790</v>
      </c>
      <c r="B1041" s="127">
        <v>24578.349609375</v>
      </c>
      <c r="C1041" s="56">
        <f t="shared" si="32"/>
        <v>-1.389583907654357E-2</v>
      </c>
      <c r="D1041" s="127">
        <v>5077.15283203125</v>
      </c>
      <c r="E1041" s="56">
        <f t="shared" si="33"/>
        <v>2.1113401527308673E-2</v>
      </c>
    </row>
    <row r="1042" spans="1:5" x14ac:dyDescent="0.3">
      <c r="A1042" s="126">
        <v>45791</v>
      </c>
      <c r="B1042" s="127">
        <v>24666.900390625</v>
      </c>
      <c r="C1042" s="56">
        <f t="shared" si="32"/>
        <v>3.6027960647213586E-3</v>
      </c>
      <c r="D1042" s="127">
        <v>5077.6474609375</v>
      </c>
      <c r="E1042" s="56">
        <f t="shared" si="33"/>
        <v>9.7422496941446113E-5</v>
      </c>
    </row>
    <row r="1043" spans="1:5" x14ac:dyDescent="0.3">
      <c r="A1043" s="126">
        <v>45792</v>
      </c>
      <c r="B1043" s="127">
        <v>25062.099609375</v>
      </c>
      <c r="C1043" s="56">
        <f t="shared" si="32"/>
        <v>1.6021438141461841E-2</v>
      </c>
      <c r="D1043" s="127">
        <v>5226.2041015625</v>
      </c>
      <c r="E1043" s="56">
        <f t="shared" si="33"/>
        <v>2.9256982050812175E-2</v>
      </c>
    </row>
    <row r="1044" spans="1:5" x14ac:dyDescent="0.3">
      <c r="A1044" s="126">
        <v>45793</v>
      </c>
      <c r="B1044" s="127">
        <v>25019.80078125</v>
      </c>
      <c r="C1044" s="56">
        <f t="shared" si="32"/>
        <v>-1.6877607536591732E-3</v>
      </c>
      <c r="D1044" s="127">
        <v>5170.7431640625</v>
      </c>
      <c r="E1044" s="56">
        <f t="shared" si="33"/>
        <v>-1.0612087936523351E-2</v>
      </c>
    </row>
    <row r="1045" spans="1:5" x14ac:dyDescent="0.3">
      <c r="A1045" s="126">
        <v>45796</v>
      </c>
      <c r="B1045" s="127">
        <v>24945.44921875</v>
      </c>
      <c r="C1045" s="56">
        <f t="shared" si="32"/>
        <v>-2.9717088137536374E-3</v>
      </c>
      <c r="D1045" s="127">
        <v>5272.75146484375</v>
      </c>
      <c r="E1045" s="56">
        <f t="shared" si="33"/>
        <v>1.9727976723002527E-2</v>
      </c>
    </row>
    <row r="1046" spans="1:5" x14ac:dyDescent="0.3">
      <c r="A1046" s="126">
        <v>45797</v>
      </c>
      <c r="B1046" s="127">
        <v>24683.900390625</v>
      </c>
      <c r="C1046" s="56">
        <f t="shared" si="32"/>
        <v>-1.0484831354666824E-2</v>
      </c>
      <c r="D1046" s="127">
        <v>5208.376953125</v>
      </c>
      <c r="E1046" s="56">
        <f t="shared" si="33"/>
        <v>-1.2208903102672197E-2</v>
      </c>
    </row>
    <row r="1047" spans="1:5" x14ac:dyDescent="0.3">
      <c r="A1047" s="126">
        <v>45798</v>
      </c>
      <c r="B1047" s="127">
        <v>24813.44921875</v>
      </c>
      <c r="C1047" s="56">
        <f t="shared" si="32"/>
        <v>5.2483127088862602E-3</v>
      </c>
      <c r="D1047" s="127">
        <v>5322.27001953125</v>
      </c>
      <c r="E1047" s="56">
        <f t="shared" si="33"/>
        <v>2.1867285611482989E-2</v>
      </c>
    </row>
    <row r="1048" spans="1:5" x14ac:dyDescent="0.3">
      <c r="A1048" s="126">
        <v>45799</v>
      </c>
      <c r="B1048" s="127">
        <v>24609.69921875</v>
      </c>
      <c r="C1048" s="56">
        <f t="shared" si="32"/>
        <v>-8.2112727740422109E-3</v>
      </c>
      <c r="D1048" s="127">
        <v>5247.99169921875</v>
      </c>
      <c r="E1048" s="56">
        <f t="shared" si="33"/>
        <v>-1.3956135265576375E-2</v>
      </c>
    </row>
    <row r="1049" spans="1:5" x14ac:dyDescent="0.3">
      <c r="A1049" s="126">
        <v>45800</v>
      </c>
      <c r="B1049" s="127">
        <v>24853.150390625</v>
      </c>
      <c r="C1049" s="56">
        <f t="shared" si="32"/>
        <v>9.8924887180058541E-3</v>
      </c>
      <c r="D1049" s="127">
        <v>5237.09814453125</v>
      </c>
      <c r="E1049" s="56">
        <f t="shared" si="33"/>
        <v>-2.0757568441126528E-3</v>
      </c>
    </row>
    <row r="1050" spans="1:5" x14ac:dyDescent="0.3">
      <c r="A1050" s="126">
        <v>45803</v>
      </c>
      <c r="B1050" s="127">
        <v>25001.150390625</v>
      </c>
      <c r="C1050" s="56">
        <f t="shared" si="32"/>
        <v>5.9549794562796521E-3</v>
      </c>
      <c r="D1050" s="127">
        <v>5198.47314453125</v>
      </c>
      <c r="E1050" s="56">
        <f t="shared" si="33"/>
        <v>-7.3752675497085196E-3</v>
      </c>
    </row>
    <row r="1051" spans="1:5" x14ac:dyDescent="0.3">
      <c r="A1051" s="126">
        <v>45804</v>
      </c>
      <c r="B1051" s="127">
        <v>24826.19921875</v>
      </c>
      <c r="C1051" s="56">
        <f t="shared" si="32"/>
        <v>-6.9977248703164685E-3</v>
      </c>
      <c r="D1051" s="127">
        <v>5215.31005859375</v>
      </c>
      <c r="E1051" s="56">
        <f t="shared" si="33"/>
        <v>3.2388190906040837E-3</v>
      </c>
    </row>
    <row r="1052" spans="1:5" x14ac:dyDescent="0.3">
      <c r="A1052" s="126">
        <v>45805</v>
      </c>
      <c r="B1052" s="127">
        <v>24752.44921875</v>
      </c>
      <c r="C1052" s="56">
        <f t="shared" si="32"/>
        <v>-2.9706520659956714E-3</v>
      </c>
      <c r="D1052" s="127">
        <v>5213.82421875</v>
      </c>
      <c r="E1052" s="56">
        <f t="shared" si="33"/>
        <v>-2.8489961805844288E-4</v>
      </c>
    </row>
    <row r="1053" spans="1:5" x14ac:dyDescent="0.3">
      <c r="A1053" s="126">
        <v>45806</v>
      </c>
      <c r="B1053" s="127">
        <v>24833.599609375</v>
      </c>
      <c r="C1053" s="56">
        <f t="shared" si="32"/>
        <v>3.2784792287758879E-3</v>
      </c>
      <c r="D1053" s="127">
        <v>5243.53515625</v>
      </c>
      <c r="E1053" s="56">
        <f t="shared" si="33"/>
        <v>5.6984923644247676E-3</v>
      </c>
    </row>
    <row r="1054" spans="1:5" x14ac:dyDescent="0.3">
      <c r="A1054" s="126">
        <v>45807</v>
      </c>
      <c r="B1054" s="127">
        <v>24750.69921875</v>
      </c>
      <c r="C1054" s="56">
        <f t="shared" si="32"/>
        <v>-3.3382349691143398E-3</v>
      </c>
      <c r="D1054" s="127">
        <v>5049.421875</v>
      </c>
      <c r="E1054" s="56">
        <f t="shared" si="33"/>
        <v>-3.7019544155936113E-2</v>
      </c>
    </row>
    <row r="1055" spans="1:5" x14ac:dyDescent="0.3">
      <c r="A1055" s="126">
        <v>45810</v>
      </c>
      <c r="B1055" s="127">
        <v>24716.599609375</v>
      </c>
      <c r="C1055" s="56">
        <f t="shared" si="32"/>
        <v>-1.3777230725331435E-3</v>
      </c>
      <c r="D1055" s="127">
        <v>5047.44140625</v>
      </c>
      <c r="E1055" s="56">
        <f t="shared" si="33"/>
        <v>-3.9221693077484687E-4</v>
      </c>
    </row>
    <row r="1056" spans="1:5" x14ac:dyDescent="0.3">
      <c r="A1056" s="126">
        <v>45811</v>
      </c>
      <c r="B1056" s="127">
        <v>24542.5</v>
      </c>
      <c r="C1056" s="56">
        <f t="shared" si="32"/>
        <v>-7.0438333802584907E-3</v>
      </c>
      <c r="D1056" s="127">
        <v>4948.404296875</v>
      </c>
      <c r="E1056" s="56">
        <f t="shared" si="33"/>
        <v>-1.9621249937120111E-2</v>
      </c>
    </row>
    <row r="1057" spans="1:5" x14ac:dyDescent="0.3">
      <c r="A1057" s="126">
        <v>45812</v>
      </c>
      <c r="B1057" s="127">
        <v>24620.19921875</v>
      </c>
      <c r="C1057" s="56">
        <f t="shared" si="32"/>
        <v>3.1659048079861751E-3</v>
      </c>
      <c r="D1057" s="127">
        <v>4821.63623046875</v>
      </c>
      <c r="E1057" s="56">
        <f t="shared" si="33"/>
        <v>-2.5617968702821292E-2</v>
      </c>
    </row>
    <row r="1058" spans="1:5" x14ac:dyDescent="0.3">
      <c r="A1058" s="126">
        <v>45813</v>
      </c>
      <c r="B1058" s="127">
        <v>24750.900390625</v>
      </c>
      <c r="C1058" s="56">
        <f t="shared" si="32"/>
        <v>5.3086967621067682E-3</v>
      </c>
      <c r="D1058" s="127">
        <v>4796.87646484375</v>
      </c>
      <c r="E1058" s="56">
        <f t="shared" si="33"/>
        <v>-5.1351376257998682E-3</v>
      </c>
    </row>
    <row r="1059" spans="1:5" x14ac:dyDescent="0.3">
      <c r="A1059" s="126">
        <v>45814</v>
      </c>
      <c r="B1059" s="127">
        <v>25003.05078125</v>
      </c>
      <c r="C1059" s="56">
        <f t="shared" si="32"/>
        <v>1.018752395450262E-2</v>
      </c>
      <c r="D1059" s="127">
        <v>4815.69384765625</v>
      </c>
      <c r="E1059" s="56">
        <f t="shared" si="33"/>
        <v>3.9228408216080979E-3</v>
      </c>
    </row>
    <row r="1060" spans="1:5" x14ac:dyDescent="0.3">
      <c r="A1060" s="126">
        <v>45817</v>
      </c>
      <c r="B1060" s="127">
        <v>25103.19921875</v>
      </c>
      <c r="C1060" s="56">
        <f t="shared" si="32"/>
        <v>4.0054487100871228E-3</v>
      </c>
      <c r="D1060" s="127">
        <v>4826.587890625</v>
      </c>
      <c r="E1060" s="56">
        <f t="shared" si="33"/>
        <v>2.2621959188813268E-3</v>
      </c>
    </row>
    <row r="1061" spans="1:5" x14ac:dyDescent="0.3">
      <c r="A1061" s="126">
        <v>45818</v>
      </c>
      <c r="B1061" s="127">
        <v>25104.25</v>
      </c>
      <c r="C1061" s="56">
        <f t="shared" si="32"/>
        <v>4.1858459586929797E-5</v>
      </c>
      <c r="D1061" s="127">
        <v>4911.26513671875</v>
      </c>
      <c r="E1061" s="56">
        <f t="shared" si="33"/>
        <v>1.7543914668626259E-2</v>
      </c>
    </row>
    <row r="1062" spans="1:5" x14ac:dyDescent="0.3">
      <c r="A1062" s="126">
        <v>45819</v>
      </c>
      <c r="B1062" s="127">
        <v>25141.400390625</v>
      </c>
      <c r="C1062" s="56">
        <f t="shared" si="32"/>
        <v>1.4798446727146697E-3</v>
      </c>
      <c r="D1062" s="127">
        <v>4838.47265625</v>
      </c>
      <c r="E1062" s="56">
        <f t="shared" si="33"/>
        <v>-1.4821533442477386E-2</v>
      </c>
    </row>
    <row r="1063" spans="1:5" x14ac:dyDescent="0.3">
      <c r="A1063" s="126">
        <v>45820</v>
      </c>
      <c r="B1063" s="127">
        <v>24888.19921875</v>
      </c>
      <c r="C1063" s="56">
        <f t="shared" si="32"/>
        <v>-1.0071084662786611E-2</v>
      </c>
      <c r="D1063" s="127">
        <v>4799.84765625</v>
      </c>
      <c r="E1063" s="56">
        <f t="shared" si="33"/>
        <v>-7.9828910369281747E-3</v>
      </c>
    </row>
    <row r="1064" spans="1:5" x14ac:dyDescent="0.3">
      <c r="A1064" s="126">
        <v>45821</v>
      </c>
      <c r="B1064" s="127">
        <v>24718.599609375</v>
      </c>
      <c r="C1064" s="56">
        <f t="shared" si="32"/>
        <v>-6.8144588479197576E-3</v>
      </c>
      <c r="D1064" s="127">
        <v>4800.83837890625</v>
      </c>
      <c r="E1064" s="56">
        <f t="shared" si="33"/>
        <v>2.0640710439212562E-4</v>
      </c>
    </row>
    <row r="1065" spans="1:5" x14ac:dyDescent="0.3">
      <c r="A1065" s="126">
        <v>45824</v>
      </c>
      <c r="B1065" s="127">
        <v>24946.5</v>
      </c>
      <c r="C1065" s="56">
        <f t="shared" si="32"/>
        <v>9.2197937677085395E-3</v>
      </c>
      <c r="D1065" s="127">
        <v>4821.140625</v>
      </c>
      <c r="E1065" s="56">
        <f t="shared" si="33"/>
        <v>4.2288959742851073E-3</v>
      </c>
    </row>
    <row r="1066" spans="1:5" x14ac:dyDescent="0.3">
      <c r="A1066" s="126">
        <v>45825</v>
      </c>
      <c r="B1066" s="127">
        <v>24853.400390625</v>
      </c>
      <c r="C1066" s="56">
        <f t="shared" si="32"/>
        <v>-3.7319707924959866E-3</v>
      </c>
      <c r="D1066" s="127">
        <v>4766.67041015625</v>
      </c>
      <c r="E1066" s="56">
        <f t="shared" si="33"/>
        <v>-1.1298200795325286E-2</v>
      </c>
    </row>
    <row r="1067" spans="1:5" x14ac:dyDescent="0.3">
      <c r="A1067" s="126">
        <v>45826</v>
      </c>
      <c r="B1067" s="127">
        <v>24812.05078125</v>
      </c>
      <c r="C1067" s="56">
        <f t="shared" si="32"/>
        <v>-1.6637405234334324E-3</v>
      </c>
      <c r="D1067" s="127">
        <v>4758.7470703125</v>
      </c>
      <c r="E1067" s="56">
        <f t="shared" si="33"/>
        <v>-1.662237822625201E-3</v>
      </c>
    </row>
    <row r="1068" spans="1:5" x14ac:dyDescent="0.3">
      <c r="A1068" s="126">
        <v>45827</v>
      </c>
      <c r="B1068" s="127">
        <v>24793.25</v>
      </c>
      <c r="C1068" s="56">
        <f t="shared" si="32"/>
        <v>-7.5772782410266082E-4</v>
      </c>
      <c r="D1068" s="127">
        <v>4735.96875</v>
      </c>
      <c r="E1068" s="56">
        <f t="shared" si="33"/>
        <v>-4.7866213471614572E-3</v>
      </c>
    </row>
    <row r="1069" spans="1:5" x14ac:dyDescent="0.3">
      <c r="A1069" s="126">
        <v>45828</v>
      </c>
      <c r="B1069" s="127">
        <v>25112.400390625</v>
      </c>
      <c r="C1069" s="56">
        <f t="shared" si="32"/>
        <v>1.287247095983779E-2</v>
      </c>
      <c r="D1069" s="127">
        <v>4727.55078125</v>
      </c>
      <c r="E1069" s="56">
        <f t="shared" si="33"/>
        <v>-1.7774544542761284E-3</v>
      </c>
    </row>
    <row r="1070" spans="1:5" x14ac:dyDescent="0.3">
      <c r="A1070" s="126">
        <v>45831</v>
      </c>
      <c r="B1070" s="127">
        <v>24971.900390625</v>
      </c>
      <c r="C1070" s="56">
        <f t="shared" si="32"/>
        <v>-5.5948454872697395E-3</v>
      </c>
      <c r="D1070" s="127">
        <v>4714.1806640625</v>
      </c>
      <c r="E1070" s="56">
        <f t="shared" si="33"/>
        <v>-2.8281276724784199E-3</v>
      </c>
    </row>
    <row r="1071" spans="1:5" x14ac:dyDescent="0.3">
      <c r="A1071" s="126">
        <v>45832</v>
      </c>
      <c r="B1071" s="127">
        <v>25044.349609375</v>
      </c>
      <c r="C1071" s="56">
        <f t="shared" si="32"/>
        <v>2.9012296868362597E-3</v>
      </c>
      <c r="D1071" s="127">
        <v>4764.689453125</v>
      </c>
      <c r="E1071" s="56">
        <f t="shared" si="33"/>
        <v>1.0714224307851072E-2</v>
      </c>
    </row>
    <row r="1072" spans="1:5" x14ac:dyDescent="0.3">
      <c r="A1072" s="126">
        <v>45833</v>
      </c>
      <c r="B1072" s="127">
        <v>25244.75</v>
      </c>
      <c r="C1072" s="56">
        <f t="shared" si="32"/>
        <v>8.0018205204253068E-3</v>
      </c>
      <c r="D1072" s="127">
        <v>4807.27587890625</v>
      </c>
      <c r="E1072" s="56">
        <f t="shared" si="33"/>
        <v>8.9379226495693853E-3</v>
      </c>
    </row>
    <row r="1073" spans="1:5" x14ac:dyDescent="0.3">
      <c r="A1073" s="126">
        <v>45834</v>
      </c>
      <c r="B1073" s="127">
        <v>25549</v>
      </c>
      <c r="C1073" s="56">
        <f t="shared" si="32"/>
        <v>1.2052010814129765E-2</v>
      </c>
      <c r="D1073" s="127">
        <v>4794.400390625</v>
      </c>
      <c r="E1073" s="56">
        <f t="shared" si="33"/>
        <v>-2.6783335522194696E-3</v>
      </c>
    </row>
    <row r="1074" spans="1:5" x14ac:dyDescent="0.3">
      <c r="A1074" s="126">
        <v>45835</v>
      </c>
      <c r="B1074" s="127">
        <v>25637.80078125</v>
      </c>
      <c r="C1074" s="56">
        <f t="shared" si="32"/>
        <v>3.4757047731810431E-3</v>
      </c>
      <c r="D1074" s="127">
        <v>4859.2705078125</v>
      </c>
      <c r="E1074" s="56">
        <f t="shared" si="33"/>
        <v>1.3530392103744182E-2</v>
      </c>
    </row>
    <row r="1075" spans="1:5" x14ac:dyDescent="0.3">
      <c r="A1075" s="126">
        <v>45838</v>
      </c>
      <c r="B1075" s="127">
        <v>25517.05078125</v>
      </c>
      <c r="C1075" s="56">
        <f t="shared" si="32"/>
        <v>-4.7098423546652057E-3</v>
      </c>
      <c r="D1075" s="127">
        <v>4891.45703125</v>
      </c>
      <c r="E1075" s="56">
        <f t="shared" si="33"/>
        <v>6.6237356792036017E-3</v>
      </c>
    </row>
    <row r="1076" spans="1:5" x14ac:dyDescent="0.3">
      <c r="A1076" s="126">
        <v>45839</v>
      </c>
      <c r="B1076" s="127">
        <v>25541.80078125</v>
      </c>
      <c r="C1076" s="56">
        <f t="shared" si="32"/>
        <v>9.6993967728375985E-4</v>
      </c>
      <c r="D1076" s="127">
        <v>4802.32373046875</v>
      </c>
      <c r="E1076" s="56">
        <f t="shared" si="33"/>
        <v>-1.8222239347459257E-2</v>
      </c>
    </row>
    <row r="1077" spans="1:5" x14ac:dyDescent="0.3">
      <c r="A1077" s="126">
        <v>45840</v>
      </c>
      <c r="B1077" s="127">
        <v>25453.400390625</v>
      </c>
      <c r="C1077" s="56">
        <f t="shared" si="32"/>
        <v>-3.4610085397696055E-3</v>
      </c>
      <c r="D1077" s="127">
        <v>4827.87548828125</v>
      </c>
      <c r="E1077" s="56">
        <f t="shared" si="33"/>
        <v>5.3207070673693124E-3</v>
      </c>
    </row>
    <row r="1078" spans="1:5" x14ac:dyDescent="0.3">
      <c r="A1078" s="126">
        <v>45841</v>
      </c>
      <c r="B1078" s="127">
        <v>25405.30078125</v>
      </c>
      <c r="C1078" s="56">
        <f t="shared" si="32"/>
        <v>-1.8897125192245401E-3</v>
      </c>
      <c r="D1078" s="127">
        <v>4775.583984375</v>
      </c>
      <c r="E1078" s="56">
        <f t="shared" si="33"/>
        <v>-1.0831162492317303E-2</v>
      </c>
    </row>
    <row r="1079" spans="1:5" x14ac:dyDescent="0.3">
      <c r="A1079" s="126">
        <v>45842</v>
      </c>
      <c r="B1079" s="127">
        <v>25461</v>
      </c>
      <c r="C1079" s="56">
        <f t="shared" si="32"/>
        <v>2.1924250859925998E-3</v>
      </c>
      <c r="D1079" s="127">
        <v>4839.2646484375</v>
      </c>
      <c r="E1079" s="56">
        <f t="shared" si="33"/>
        <v>1.3334633894169556E-2</v>
      </c>
    </row>
    <row r="1080" spans="1:5" x14ac:dyDescent="0.3">
      <c r="A1080" s="126">
        <v>45845</v>
      </c>
      <c r="B1080" s="127">
        <v>25461.30078125</v>
      </c>
      <c r="C1080" s="56">
        <f t="shared" si="32"/>
        <v>1.1813410706551508E-5</v>
      </c>
      <c r="D1080" s="127">
        <v>4830.35107421875</v>
      </c>
      <c r="E1080" s="56">
        <f t="shared" si="33"/>
        <v>-1.8419274138330444E-3</v>
      </c>
    </row>
    <row r="1081" spans="1:5" x14ac:dyDescent="0.3">
      <c r="A1081" s="126">
        <v>45846</v>
      </c>
      <c r="B1081" s="127">
        <v>25522.5</v>
      </c>
      <c r="C1081" s="56">
        <f t="shared" si="32"/>
        <v>2.4036171315751087E-3</v>
      </c>
      <c r="D1081" s="127">
        <v>4754.6865234375</v>
      </c>
      <c r="E1081" s="56">
        <f t="shared" si="33"/>
        <v>-1.5664399878737134E-2</v>
      </c>
    </row>
    <row r="1082" spans="1:5" x14ac:dyDescent="0.3">
      <c r="A1082" s="126">
        <v>45847</v>
      </c>
      <c r="B1082" s="127">
        <v>25476.099609375</v>
      </c>
      <c r="C1082" s="56">
        <f t="shared" si="32"/>
        <v>-1.8180190273288099E-3</v>
      </c>
      <c r="D1082" s="127">
        <v>4759.14306640625</v>
      </c>
      <c r="E1082" s="56">
        <f t="shared" si="33"/>
        <v>9.3729480309212576E-4</v>
      </c>
    </row>
    <row r="1083" spans="1:5" x14ac:dyDescent="0.3">
      <c r="A1083" s="126">
        <v>45848</v>
      </c>
      <c r="B1083" s="127">
        <v>25355.25</v>
      </c>
      <c r="C1083" s="56">
        <f t="shared" si="32"/>
        <v>-4.7436464461980687E-3</v>
      </c>
      <c r="D1083" s="127">
        <v>4687.2421875</v>
      </c>
      <c r="E1083" s="56">
        <f t="shared" si="33"/>
        <v>-1.5107946515367954E-2</v>
      </c>
    </row>
    <row r="1084" spans="1:5" x14ac:dyDescent="0.3">
      <c r="A1084" s="126">
        <v>45849</v>
      </c>
      <c r="B1084" s="127">
        <v>25149.849609375</v>
      </c>
      <c r="C1084" s="56">
        <f t="shared" si="32"/>
        <v>-8.1009018102760066E-3</v>
      </c>
      <c r="D1084" s="127">
        <v>4760.43115234375</v>
      </c>
      <c r="E1084" s="56">
        <f t="shared" si="33"/>
        <v>1.5614504631088044E-2</v>
      </c>
    </row>
    <row r="1085" spans="1:5" x14ac:dyDescent="0.3">
      <c r="A1085" s="126">
        <v>45852</v>
      </c>
      <c r="B1085" s="127">
        <v>25082.30078125</v>
      </c>
      <c r="C1085" s="56">
        <f t="shared" si="32"/>
        <v>-2.685854157148504E-3</v>
      </c>
      <c r="D1085" s="127">
        <v>4794.103515625</v>
      </c>
      <c r="E1085" s="56">
        <f t="shared" si="33"/>
        <v>7.0733852047564216E-3</v>
      </c>
    </row>
    <row r="1086" spans="1:5" x14ac:dyDescent="0.3">
      <c r="A1086" s="126">
        <v>45853</v>
      </c>
      <c r="B1086" s="127">
        <v>25195.80078125</v>
      </c>
      <c r="C1086" s="56">
        <f t="shared" si="32"/>
        <v>4.5251032187942908E-3</v>
      </c>
      <c r="D1086" s="127">
        <v>4885.71337890625</v>
      </c>
      <c r="E1086" s="56">
        <f t="shared" si="33"/>
        <v>1.9108862164255225E-2</v>
      </c>
    </row>
    <row r="1087" spans="1:5" x14ac:dyDescent="0.3">
      <c r="A1087" s="126">
        <v>45854</v>
      </c>
      <c r="B1087" s="127">
        <v>25212.05078125</v>
      </c>
      <c r="C1087" s="56">
        <f t="shared" si="32"/>
        <v>6.4494874130338609E-4</v>
      </c>
      <c r="D1087" s="127">
        <v>4954.04931640625</v>
      </c>
      <c r="E1087" s="56">
        <f t="shared" si="33"/>
        <v>1.3986890388420159E-2</v>
      </c>
    </row>
    <row r="1088" spans="1:5" x14ac:dyDescent="0.3">
      <c r="A1088" s="126">
        <v>45855</v>
      </c>
      <c r="B1088" s="127">
        <v>25111.44921875</v>
      </c>
      <c r="C1088" s="56">
        <f t="shared" si="32"/>
        <v>-3.9902173517283313E-3</v>
      </c>
      <c r="D1088" s="127">
        <v>4970.390625</v>
      </c>
      <c r="E1088" s="56">
        <f t="shared" si="33"/>
        <v>3.2985760839385758E-3</v>
      </c>
    </row>
    <row r="1089" spans="1:5" x14ac:dyDescent="0.3">
      <c r="A1089" s="126">
        <v>45856</v>
      </c>
      <c r="B1089" s="127">
        <v>24968.400390625</v>
      </c>
      <c r="C1089" s="56">
        <f t="shared" si="32"/>
        <v>-5.6965580472427835E-3</v>
      </c>
      <c r="D1089" s="127">
        <v>4950.384765625</v>
      </c>
      <c r="E1089" s="56">
        <f t="shared" si="33"/>
        <v>-4.0250074660882484E-3</v>
      </c>
    </row>
    <row r="1090" spans="1:5" x14ac:dyDescent="0.3">
      <c r="A1090" s="126">
        <v>45859</v>
      </c>
      <c r="B1090" s="127">
        <v>25090.69921875</v>
      </c>
      <c r="C1090" s="56">
        <f t="shared" si="32"/>
        <v>4.8981443028652816E-3</v>
      </c>
      <c r="D1090" s="127">
        <v>4951.5732421875</v>
      </c>
      <c r="E1090" s="56">
        <f t="shared" si="33"/>
        <v>2.4007761391642291E-4</v>
      </c>
    </row>
    <row r="1091" spans="1:5" x14ac:dyDescent="0.3">
      <c r="A1091" s="126">
        <v>45860</v>
      </c>
      <c r="B1091" s="127">
        <v>25060.900390625</v>
      </c>
      <c r="C1091" s="56">
        <f t="shared" si="32"/>
        <v>-1.1876443882732346E-3</v>
      </c>
      <c r="D1091" s="127">
        <v>4923.94140625</v>
      </c>
      <c r="E1091" s="56">
        <f t="shared" si="33"/>
        <v>-5.580415473222966E-3</v>
      </c>
    </row>
    <row r="1092" spans="1:5" x14ac:dyDescent="0.3">
      <c r="A1092" s="126">
        <v>45861</v>
      </c>
      <c r="B1092" s="127">
        <v>25219.900390625</v>
      </c>
      <c r="C1092" s="56">
        <f t="shared" si="32"/>
        <v>6.3445445902445829E-3</v>
      </c>
      <c r="D1092" s="127">
        <v>4927.2099609375</v>
      </c>
      <c r="E1092" s="56">
        <f t="shared" si="33"/>
        <v>6.6380860733872282E-4</v>
      </c>
    </row>
    <row r="1093" spans="1:5" x14ac:dyDescent="0.3">
      <c r="A1093" s="126">
        <v>45862</v>
      </c>
      <c r="B1093" s="127">
        <v>25062.099609375</v>
      </c>
      <c r="C1093" s="56">
        <f t="shared" si="32"/>
        <v>-6.2569946274910748E-3</v>
      </c>
      <c r="D1093" s="127">
        <v>4950.48388671875</v>
      </c>
      <c r="E1093" s="56">
        <f t="shared" si="33"/>
        <v>4.7235506434195607E-3</v>
      </c>
    </row>
    <row r="1094" spans="1:5" x14ac:dyDescent="0.3">
      <c r="A1094" s="126">
        <v>45863</v>
      </c>
      <c r="B1094" s="127">
        <v>24837</v>
      </c>
      <c r="C1094" s="56">
        <f t="shared" si="32"/>
        <v>-8.9816740370306514E-3</v>
      </c>
      <c r="D1094" s="127">
        <v>4963.6552734375</v>
      </c>
      <c r="E1094" s="56">
        <f t="shared" si="33"/>
        <v>2.6606261165875722E-3</v>
      </c>
    </row>
    <row r="1095" spans="1:5" x14ac:dyDescent="0.3">
      <c r="A1095" s="126">
        <v>45866</v>
      </c>
      <c r="B1095" s="127">
        <v>24680.900390625</v>
      </c>
      <c r="C1095" s="56">
        <f t="shared" ref="C1095:C1158" si="34">B1095/B1094-1</f>
        <v>-6.2849623293875778E-3</v>
      </c>
      <c r="D1095" s="127">
        <v>4998.81396484375</v>
      </c>
      <c r="E1095" s="56">
        <f t="shared" ref="E1095:E1158" si="35">D1095/D1094-1</f>
        <v>7.0832258626818412E-3</v>
      </c>
    </row>
    <row r="1096" spans="1:5" x14ac:dyDescent="0.3">
      <c r="A1096" s="126">
        <v>45867</v>
      </c>
      <c r="B1096" s="127">
        <v>24821.099609375</v>
      </c>
      <c r="C1096" s="56">
        <f t="shared" si="34"/>
        <v>5.6804742343701253E-3</v>
      </c>
      <c r="D1096" s="127">
        <v>5021.8896484375</v>
      </c>
      <c r="E1096" s="56">
        <f t="shared" si="35"/>
        <v>4.6162317213722659E-3</v>
      </c>
    </row>
    <row r="1097" spans="1:5" x14ac:dyDescent="0.3">
      <c r="A1097" s="126">
        <v>45868</v>
      </c>
      <c r="B1097" s="127">
        <v>24855.05078125</v>
      </c>
      <c r="C1097" s="56">
        <f t="shared" si="34"/>
        <v>1.367835124523431E-3</v>
      </c>
      <c r="D1097" s="127">
        <v>5050.51171875</v>
      </c>
      <c r="E1097" s="56">
        <f t="shared" si="35"/>
        <v>5.699462217654494E-3</v>
      </c>
    </row>
    <row r="1098" spans="1:5" x14ac:dyDescent="0.3">
      <c r="A1098" s="126">
        <v>45869</v>
      </c>
      <c r="B1098" s="127">
        <v>24768.349609375</v>
      </c>
      <c r="C1098" s="56">
        <f t="shared" si="34"/>
        <v>-3.4882717656889994E-3</v>
      </c>
      <c r="D1098" s="127">
        <v>4982.6708984375</v>
      </c>
      <c r="E1098" s="56">
        <f t="shared" si="35"/>
        <v>-1.3432464686824019E-2</v>
      </c>
    </row>
    <row r="1099" spans="1:5" x14ac:dyDescent="0.3">
      <c r="A1099" s="126">
        <v>45870</v>
      </c>
      <c r="B1099" s="127">
        <v>24565.349609375</v>
      </c>
      <c r="C1099" s="56">
        <f t="shared" si="34"/>
        <v>-8.1959437427822079E-3</v>
      </c>
      <c r="D1099" s="127">
        <v>4851.8427734375</v>
      </c>
      <c r="E1099" s="56">
        <f t="shared" si="35"/>
        <v>-2.625662574685117E-2</v>
      </c>
    </row>
    <row r="1100" spans="1:5" x14ac:dyDescent="0.3">
      <c r="A1100" s="126">
        <v>45873</v>
      </c>
      <c r="B1100" s="127">
        <v>24722.75</v>
      </c>
      <c r="C1100" s="56">
        <f t="shared" si="34"/>
        <v>6.4074150430544208E-3</v>
      </c>
      <c r="D1100" s="127">
        <v>4855.30859375</v>
      </c>
      <c r="E1100" s="56">
        <f t="shared" si="35"/>
        <v>7.1433071398652181E-4</v>
      </c>
    </row>
    <row r="1101" spans="1:5" x14ac:dyDescent="0.3">
      <c r="A1101" s="126">
        <v>45874</v>
      </c>
      <c r="B1101" s="127">
        <v>24649.55078125</v>
      </c>
      <c r="C1101" s="56">
        <f t="shared" si="34"/>
        <v>-2.9608040671041946E-3</v>
      </c>
      <c r="D1101" s="127">
        <v>4873.63037109375</v>
      </c>
      <c r="E1101" s="56">
        <f t="shared" si="35"/>
        <v>3.7735556844593621E-3</v>
      </c>
    </row>
    <row r="1102" spans="1:5" x14ac:dyDescent="0.3">
      <c r="A1102" s="126">
        <v>45875</v>
      </c>
      <c r="B1102" s="127">
        <v>24574.19921875</v>
      </c>
      <c r="C1102" s="56">
        <f t="shared" si="34"/>
        <v>-3.0569142281212658E-3</v>
      </c>
      <c r="D1102" s="127">
        <v>4824.11181640625</v>
      </c>
      <c r="E1102" s="56">
        <f t="shared" si="35"/>
        <v>-1.0160506833099658E-2</v>
      </c>
    </row>
    <row r="1103" spans="1:5" x14ac:dyDescent="0.3">
      <c r="A1103" s="126">
        <v>45876</v>
      </c>
      <c r="B1103" s="127">
        <v>24596.150390625</v>
      </c>
      <c r="C1103" s="56">
        <f t="shared" si="34"/>
        <v>8.9326092295416437E-4</v>
      </c>
      <c r="D1103" s="127">
        <v>4825.1025390625</v>
      </c>
      <c r="E1103" s="56">
        <f t="shared" si="35"/>
        <v>2.053689246754864E-4</v>
      </c>
    </row>
    <row r="1104" spans="1:5" x14ac:dyDescent="0.3">
      <c r="A1104" s="126">
        <v>45877</v>
      </c>
      <c r="B1104" s="127">
        <v>24363.30078125</v>
      </c>
      <c r="C1104" s="56">
        <f t="shared" si="34"/>
        <v>-9.4669127354072291E-3</v>
      </c>
      <c r="D1104" s="127">
        <v>4725.90234375</v>
      </c>
      <c r="E1104" s="56">
        <f t="shared" si="35"/>
        <v>-2.0559189055446292E-2</v>
      </c>
    </row>
    <row r="1105" spans="1:5" x14ac:dyDescent="0.3">
      <c r="A1105" s="126">
        <v>45880</v>
      </c>
      <c r="B1105" s="127">
        <v>24585.05078125</v>
      </c>
      <c r="C1105" s="56">
        <f t="shared" si="34"/>
        <v>9.1018044718578217E-3</v>
      </c>
      <c r="D1105" s="127">
        <v>4805.75830078125</v>
      </c>
      <c r="E1105" s="56">
        <f t="shared" si="35"/>
        <v>1.6897504692804155E-2</v>
      </c>
    </row>
    <row r="1106" spans="1:5" x14ac:dyDescent="0.3">
      <c r="A1106" s="126">
        <v>45881</v>
      </c>
      <c r="B1106" s="127">
        <v>24487.400390625</v>
      </c>
      <c r="C1106" s="56">
        <f t="shared" si="34"/>
        <v>-3.9719417907191357E-3</v>
      </c>
      <c r="D1106" s="127">
        <v>5107.8232421875</v>
      </c>
      <c r="E1106" s="56">
        <f t="shared" si="35"/>
        <v>6.2854792625993028E-2</v>
      </c>
    </row>
    <row r="1107" spans="1:5" x14ac:dyDescent="0.3">
      <c r="A1107" s="126">
        <v>45882</v>
      </c>
      <c r="B1107" s="127">
        <v>24619.349609375</v>
      </c>
      <c r="C1107" s="56">
        <f t="shared" si="34"/>
        <v>5.3884535167121328E-3</v>
      </c>
      <c r="D1107" s="127">
        <v>5345.408203125</v>
      </c>
      <c r="E1107" s="56">
        <f t="shared" si="35"/>
        <v>4.6513935520554606E-2</v>
      </c>
    </row>
    <row r="1108" spans="1:5" x14ac:dyDescent="0.3">
      <c r="A1108" s="126">
        <v>45883</v>
      </c>
      <c r="B1108" s="127">
        <v>24631.30078125</v>
      </c>
      <c r="C1108" s="56">
        <f t="shared" si="34"/>
        <v>4.8543816407109475E-4</v>
      </c>
      <c r="D1108" s="127">
        <v>5304.73583984375</v>
      </c>
      <c r="E1108" s="56">
        <f t="shared" si="35"/>
        <v>-7.6088414084957146E-3</v>
      </c>
    </row>
    <row r="1109" spans="1:5" x14ac:dyDescent="0.3">
      <c r="A1109" s="126">
        <v>45887</v>
      </c>
      <c r="B1109" s="127">
        <v>24876.94921875</v>
      </c>
      <c r="C1109" s="56">
        <f t="shared" si="34"/>
        <v>9.9730192766349646E-3</v>
      </c>
      <c r="D1109" s="127">
        <v>5303.248046875</v>
      </c>
      <c r="E1109" s="56">
        <f t="shared" si="35"/>
        <v>-2.8046504362666536E-4</v>
      </c>
    </row>
    <row r="1110" spans="1:5" x14ac:dyDescent="0.3">
      <c r="A1110" s="126">
        <v>45888</v>
      </c>
      <c r="B1110" s="127">
        <v>24980.650390625</v>
      </c>
      <c r="C1110" s="56">
        <f t="shared" si="34"/>
        <v>4.1685646806257637E-3</v>
      </c>
      <c r="D1110" s="127">
        <v>5348.8798828125</v>
      </c>
      <c r="E1110" s="56">
        <f t="shared" si="35"/>
        <v>8.604507187701449E-3</v>
      </c>
    </row>
    <row r="1111" spans="1:5" x14ac:dyDescent="0.3">
      <c r="A1111" s="126">
        <v>45889</v>
      </c>
      <c r="B1111" s="127">
        <v>25050.55078125</v>
      </c>
      <c r="C1111" s="56">
        <f t="shared" si="34"/>
        <v>2.7981813736617234E-3</v>
      </c>
      <c r="D1111" s="127">
        <v>5349.8720703125</v>
      </c>
      <c r="E1111" s="56">
        <f t="shared" si="35"/>
        <v>1.8549444402138349E-4</v>
      </c>
    </row>
    <row r="1112" spans="1:5" x14ac:dyDescent="0.3">
      <c r="A1112" s="126">
        <v>45890</v>
      </c>
      <c r="B1112" s="127">
        <v>25083.75</v>
      </c>
      <c r="C1112" s="56">
        <f t="shared" si="34"/>
        <v>1.3252889742787488E-3</v>
      </c>
      <c r="D1112" s="127">
        <v>5378.64013671875</v>
      </c>
      <c r="E1112" s="56">
        <f t="shared" si="35"/>
        <v>5.3773372574439371E-3</v>
      </c>
    </row>
    <row r="1113" spans="1:5" x14ac:dyDescent="0.3">
      <c r="A1113" s="126">
        <v>45891</v>
      </c>
      <c r="B1113" s="127">
        <v>24870.099609375</v>
      </c>
      <c r="C1113" s="56">
        <f t="shared" si="34"/>
        <v>-8.5174820600987244E-3</v>
      </c>
      <c r="D1113" s="127">
        <v>5382.60791015625</v>
      </c>
      <c r="E1113" s="56">
        <f t="shared" si="35"/>
        <v>7.3769081712926621E-4</v>
      </c>
    </row>
    <row r="1114" spans="1:5" x14ac:dyDescent="0.3">
      <c r="A1114" s="126">
        <v>45894</v>
      </c>
      <c r="B1114" s="127">
        <v>24967.75</v>
      </c>
      <c r="C1114" s="56">
        <f t="shared" si="34"/>
        <v>3.9264173509054867E-3</v>
      </c>
      <c r="D1114" s="127">
        <v>5372.19189453125</v>
      </c>
      <c r="E1114" s="56">
        <f t="shared" si="35"/>
        <v>-1.9351243484309055E-3</v>
      </c>
    </row>
    <row r="1115" spans="1:5" x14ac:dyDescent="0.3">
      <c r="A1115" s="126">
        <v>45895</v>
      </c>
      <c r="B1115" s="127">
        <v>24712.05078125</v>
      </c>
      <c r="C1115" s="56">
        <f t="shared" si="34"/>
        <v>-1.0241179872034878E-2</v>
      </c>
      <c r="D1115" s="127">
        <v>5378.64013671875</v>
      </c>
      <c r="E1115" s="56">
        <f t="shared" si="35"/>
        <v>1.2003000477447401E-3</v>
      </c>
    </row>
    <row r="1116" spans="1:5" x14ac:dyDescent="0.3">
      <c r="A1116" s="126">
        <v>45897</v>
      </c>
      <c r="B1116" s="127">
        <v>24500.900390625</v>
      </c>
      <c r="C1116" s="56">
        <f t="shared" si="34"/>
        <v>-8.5444301039235837E-3</v>
      </c>
      <c r="D1116" s="127">
        <v>5333.0078125</v>
      </c>
      <c r="E1116" s="56">
        <f t="shared" si="35"/>
        <v>-8.4839890862429268E-3</v>
      </c>
    </row>
    <row r="1117" spans="1:5" x14ac:dyDescent="0.3">
      <c r="A1117" s="126">
        <v>45898</v>
      </c>
      <c r="B1117" s="127">
        <v>24426.849609375</v>
      </c>
      <c r="C1117" s="56">
        <f t="shared" si="34"/>
        <v>-3.0223697933294824E-3</v>
      </c>
      <c r="D1117" s="127">
        <v>5261.087890625</v>
      </c>
      <c r="E1117" s="56">
        <f t="shared" si="35"/>
        <v>-1.3485808459989035E-2</v>
      </c>
    </row>
    <row r="1118" spans="1:5" x14ac:dyDescent="0.3">
      <c r="A1118" s="126">
        <v>45901</v>
      </c>
      <c r="B1118" s="127">
        <v>24625.05078125</v>
      </c>
      <c r="C1118" s="56">
        <f t="shared" si="34"/>
        <v>8.1140701746054145E-3</v>
      </c>
      <c r="D1118" s="127">
        <v>5258.11181640625</v>
      </c>
      <c r="E1118" s="56">
        <f t="shared" si="35"/>
        <v>-5.6567658260442411E-4</v>
      </c>
    </row>
    <row r="1119" spans="1:5" x14ac:dyDescent="0.3">
      <c r="A1119" s="126">
        <v>45902</v>
      </c>
      <c r="B1119" s="127">
        <v>24579.599609375</v>
      </c>
      <c r="C1119" s="56">
        <f t="shared" si="34"/>
        <v>-1.8457290617897026E-3</v>
      </c>
      <c r="D1119" s="127">
        <v>5204.54345703125</v>
      </c>
      <c r="E1119" s="56">
        <f t="shared" si="35"/>
        <v>-1.0187755841908341E-2</v>
      </c>
    </row>
    <row r="1120" spans="1:5" x14ac:dyDescent="0.3">
      <c r="A1120" s="126">
        <v>45903</v>
      </c>
      <c r="B1120" s="127">
        <v>24715.05078125</v>
      </c>
      <c r="C1120" s="56">
        <f t="shared" si="34"/>
        <v>5.5107151470170646E-3</v>
      </c>
      <c r="D1120" s="127">
        <v>5249.6796875</v>
      </c>
      <c r="E1120" s="56">
        <f t="shared" si="35"/>
        <v>8.6724668246878078E-3</v>
      </c>
    </row>
    <row r="1121" spans="1:5" x14ac:dyDescent="0.3">
      <c r="A1121" s="126">
        <v>45904</v>
      </c>
      <c r="B1121" s="127">
        <v>24734.30078125</v>
      </c>
      <c r="C1121" s="56">
        <f t="shared" si="34"/>
        <v>7.7887762280481887E-4</v>
      </c>
      <c r="D1121" s="127">
        <v>5259.103515625</v>
      </c>
      <c r="E1121" s="56">
        <f t="shared" si="35"/>
        <v>1.7951244049116966E-3</v>
      </c>
    </row>
    <row r="1122" spans="1:5" x14ac:dyDescent="0.3">
      <c r="A1122" s="126">
        <v>45905</v>
      </c>
      <c r="B1122" s="127">
        <v>24741</v>
      </c>
      <c r="C1122" s="56">
        <f t="shared" si="34"/>
        <v>2.7084730671167456E-4</v>
      </c>
      <c r="D1122" s="127">
        <v>5290.84765625</v>
      </c>
      <c r="E1122" s="56">
        <f t="shared" si="35"/>
        <v>6.0360364709854952E-3</v>
      </c>
    </row>
    <row r="1123" spans="1:5" x14ac:dyDescent="0.3">
      <c r="A1123" s="126">
        <v>45908</v>
      </c>
      <c r="B1123" s="127">
        <v>24773.150390625</v>
      </c>
      <c r="C1123" s="56">
        <f t="shared" si="34"/>
        <v>1.2994782193525012E-3</v>
      </c>
      <c r="D1123" s="127">
        <v>5290.35205078125</v>
      </c>
      <c r="E1123" s="56">
        <f t="shared" si="35"/>
        <v>-9.3672224367402634E-5</v>
      </c>
    </row>
    <row r="1124" spans="1:5" x14ac:dyDescent="0.3">
      <c r="A1124" s="126">
        <v>45909</v>
      </c>
      <c r="B1124" s="127">
        <v>24868.599609375</v>
      </c>
      <c r="C1124" s="56">
        <f t="shared" si="34"/>
        <v>3.852930178235292E-3</v>
      </c>
      <c r="D1124" s="127">
        <v>5293.32763671875</v>
      </c>
      <c r="E1124" s="56">
        <f t="shared" si="35"/>
        <v>5.6245518425579455E-4</v>
      </c>
    </row>
    <row r="1125" spans="1:5" x14ac:dyDescent="0.3">
      <c r="A1125" s="126">
        <v>45910</v>
      </c>
      <c r="B1125" s="127">
        <v>24973.099609375</v>
      </c>
      <c r="C1125" s="56">
        <f t="shared" si="34"/>
        <v>4.2020862308871365E-3</v>
      </c>
      <c r="D1125" s="127">
        <v>5277.95166015625</v>
      </c>
      <c r="E1125" s="56">
        <f t="shared" si="35"/>
        <v>-2.9047845925576077E-3</v>
      </c>
    </row>
    <row r="1126" spans="1:5" x14ac:dyDescent="0.3">
      <c r="A1126" s="126">
        <v>45911</v>
      </c>
      <c r="B1126" s="127">
        <v>25005.5</v>
      </c>
      <c r="C1126" s="56">
        <f t="shared" si="34"/>
        <v>1.2974116602184615E-3</v>
      </c>
      <c r="D1126" s="127">
        <v>5350.3681640625</v>
      </c>
      <c r="E1126" s="56">
        <f t="shared" si="35"/>
        <v>1.3720569753021605E-2</v>
      </c>
    </row>
    <row r="1127" spans="1:5" x14ac:dyDescent="0.3">
      <c r="A1127" s="126">
        <v>45912</v>
      </c>
      <c r="B1127" s="127">
        <v>25114</v>
      </c>
      <c r="C1127" s="56">
        <f t="shared" si="34"/>
        <v>4.3390454100098452E-3</v>
      </c>
      <c r="D1127" s="127">
        <v>5404.43212890625</v>
      </c>
      <c r="E1127" s="56">
        <f t="shared" si="35"/>
        <v>1.0104718626072984E-2</v>
      </c>
    </row>
    <row r="1128" spans="1:5" x14ac:dyDescent="0.3">
      <c r="A1128" s="126">
        <v>45915</v>
      </c>
      <c r="B1128" s="127">
        <v>25069.19921875</v>
      </c>
      <c r="C1128" s="56">
        <f t="shared" si="34"/>
        <v>-1.7838966811339896E-3</v>
      </c>
      <c r="D1128" s="127">
        <v>5456.51220703125</v>
      </c>
      <c r="E1128" s="56">
        <f t="shared" si="35"/>
        <v>9.6365495731629558E-3</v>
      </c>
    </row>
    <row r="1129" spans="1:5" x14ac:dyDescent="0.3">
      <c r="A1129" s="126">
        <v>45916</v>
      </c>
      <c r="B1129" s="127">
        <v>25239.099609375</v>
      </c>
      <c r="C1129" s="56">
        <f t="shared" si="34"/>
        <v>6.7772563910986072E-3</v>
      </c>
      <c r="D1129" s="127">
        <v>5458.9921875</v>
      </c>
      <c r="E1129" s="56">
        <f t="shared" si="35"/>
        <v>4.5449920657270049E-4</v>
      </c>
    </row>
    <row r="1130" spans="1:5" x14ac:dyDescent="0.3">
      <c r="A1130" s="126">
        <v>45917</v>
      </c>
      <c r="B1130" s="127">
        <v>25330.25</v>
      </c>
      <c r="C1130" s="56">
        <f t="shared" si="34"/>
        <v>3.6114755294653911E-3</v>
      </c>
      <c r="D1130" s="127">
        <v>5428.736328125</v>
      </c>
      <c r="E1130" s="56">
        <f t="shared" si="35"/>
        <v>-5.5423892058830138E-3</v>
      </c>
    </row>
    <row r="1131" spans="1:5" x14ac:dyDescent="0.3">
      <c r="A1131" s="126">
        <v>45918</v>
      </c>
      <c r="B1131" s="127">
        <v>25423.599609375</v>
      </c>
      <c r="C1131" s="56">
        <f t="shared" si="34"/>
        <v>3.6853015416349333E-3</v>
      </c>
      <c r="D1131" s="127">
        <v>5435.68017578125</v>
      </c>
      <c r="E1131" s="56">
        <f t="shared" si="35"/>
        <v>1.2790909774482717E-3</v>
      </c>
    </row>
    <row r="1132" spans="1:5" x14ac:dyDescent="0.3">
      <c r="A1132" s="126">
        <v>45919</v>
      </c>
      <c r="B1132" s="127">
        <v>25327.05078125</v>
      </c>
      <c r="C1132" s="56">
        <f t="shared" si="34"/>
        <v>-3.7976065391384095E-3</v>
      </c>
      <c r="D1132" s="127">
        <v>5497.1845703125</v>
      </c>
      <c r="E1132" s="56">
        <f t="shared" si="35"/>
        <v>1.1314939904905286E-2</v>
      </c>
    </row>
    <row r="1133" spans="1:5" x14ac:dyDescent="0.3">
      <c r="A1133" s="126">
        <v>45922</v>
      </c>
      <c r="B1133" s="127">
        <v>25202.349609375</v>
      </c>
      <c r="C1133" s="56">
        <f t="shared" si="34"/>
        <v>-4.9236357186648316E-3</v>
      </c>
      <c r="D1133" s="127">
        <v>5451.05615234375</v>
      </c>
      <c r="E1133" s="56">
        <f t="shared" si="35"/>
        <v>-8.3912805507506683E-3</v>
      </c>
    </row>
    <row r="1134" spans="1:5" x14ac:dyDescent="0.3">
      <c r="A1134" s="126">
        <v>45923</v>
      </c>
      <c r="B1134" s="127">
        <v>25169.5</v>
      </c>
      <c r="C1134" s="56">
        <f t="shared" si="34"/>
        <v>-1.3034343973540308E-3</v>
      </c>
      <c r="D1134" s="127">
        <v>5500.16064453125</v>
      </c>
      <c r="E1134" s="56">
        <f t="shared" si="35"/>
        <v>9.0082528624084723E-3</v>
      </c>
    </row>
    <row r="1135" spans="1:5" x14ac:dyDescent="0.3">
      <c r="A1135" s="126">
        <v>45924</v>
      </c>
      <c r="B1135" s="127">
        <v>25056.900390625</v>
      </c>
      <c r="C1135" s="56">
        <f t="shared" si="34"/>
        <v>-4.4736530076083802E-3</v>
      </c>
      <c r="D1135" s="127">
        <v>5531.40869140625</v>
      </c>
      <c r="E1135" s="56">
        <f t="shared" si="35"/>
        <v>5.6812971283064506E-3</v>
      </c>
    </row>
    <row r="1136" spans="1:5" x14ac:dyDescent="0.3">
      <c r="A1136" s="126">
        <v>45925</v>
      </c>
      <c r="B1136" s="127">
        <v>24890.849609375</v>
      </c>
      <c r="C1136" s="56">
        <f t="shared" si="34"/>
        <v>-6.6269482123226808E-3</v>
      </c>
      <c r="D1136" s="127">
        <v>5463.9521484375</v>
      </c>
      <c r="E1136" s="56">
        <f t="shared" si="35"/>
        <v>-1.2195183312625701E-2</v>
      </c>
    </row>
    <row r="1137" spans="1:5" x14ac:dyDescent="0.3">
      <c r="A1137" s="126">
        <v>45926</v>
      </c>
      <c r="B1137" s="127">
        <v>24654.69921875</v>
      </c>
      <c r="C1137" s="56">
        <f t="shared" si="34"/>
        <v>-9.4874379272315013E-3</v>
      </c>
      <c r="D1137" s="127">
        <v>5389.55224609375</v>
      </c>
      <c r="E1137" s="56">
        <f t="shared" si="35"/>
        <v>-1.3616499618325895E-2</v>
      </c>
    </row>
    <row r="1138" spans="1:5" x14ac:dyDescent="0.3">
      <c r="A1138" s="126">
        <v>45929</v>
      </c>
      <c r="B1138" s="127">
        <v>24634.900390625</v>
      </c>
      <c r="C1138" s="56">
        <f t="shared" si="34"/>
        <v>-8.0304480494097774E-4</v>
      </c>
      <c r="D1138" s="127">
        <v>5365.744140625</v>
      </c>
      <c r="E1138" s="56">
        <f t="shared" si="35"/>
        <v>-4.4174551765419068E-3</v>
      </c>
    </row>
    <row r="1139" spans="1:5" x14ac:dyDescent="0.3">
      <c r="A1139" s="126">
        <v>45930</v>
      </c>
      <c r="B1139" s="127">
        <v>24611.099609375</v>
      </c>
      <c r="C1139" s="56">
        <f t="shared" si="34"/>
        <v>-9.6614075448253622E-4</v>
      </c>
      <c r="D1139" s="127">
        <v>5381.6162109375</v>
      </c>
      <c r="E1139" s="56">
        <f t="shared" si="35"/>
        <v>2.9580371140565109E-3</v>
      </c>
    </row>
    <row r="1140" spans="1:5" x14ac:dyDescent="0.3">
      <c r="A1140" s="126">
        <v>45931</v>
      </c>
      <c r="B1140" s="127">
        <v>24836.30078125</v>
      </c>
      <c r="C1140" s="56">
        <f t="shared" si="34"/>
        <v>9.1503904924759016E-3</v>
      </c>
      <c r="D1140" s="127">
        <v>5415.84033203125</v>
      </c>
      <c r="E1140" s="56">
        <f t="shared" si="35"/>
        <v>6.3594503495425503E-3</v>
      </c>
    </row>
    <row r="1141" spans="1:5" x14ac:dyDescent="0.3">
      <c r="A1141" s="126">
        <v>45933</v>
      </c>
      <c r="B1141" s="127">
        <v>24894.25</v>
      </c>
      <c r="C1141" s="56">
        <f t="shared" si="34"/>
        <v>2.3332467769816567E-3</v>
      </c>
      <c r="D1141" s="127">
        <v>5398.47998046875</v>
      </c>
      <c r="E1141" s="56">
        <f t="shared" si="35"/>
        <v>-3.2054769893832269E-3</v>
      </c>
    </row>
    <row r="1142" spans="1:5" x14ac:dyDescent="0.3">
      <c r="A1142" s="126">
        <v>45936</v>
      </c>
      <c r="B1142" s="127">
        <v>25077.650390625</v>
      </c>
      <c r="C1142" s="56">
        <f t="shared" si="34"/>
        <v>7.3671787912872322E-3</v>
      </c>
      <c r="D1142" s="127">
        <v>5450.064453125</v>
      </c>
      <c r="E1142" s="56">
        <f t="shared" si="35"/>
        <v>9.5553698157404554E-3</v>
      </c>
    </row>
    <row r="1143" spans="1:5" x14ac:dyDescent="0.3">
      <c r="A1143" s="126">
        <v>45937</v>
      </c>
      <c r="B1143" s="127">
        <v>25108.30078125</v>
      </c>
      <c r="C1143" s="56">
        <f t="shared" si="34"/>
        <v>1.2222193924698033E-3</v>
      </c>
      <c r="D1143" s="127">
        <v>5448.080078125</v>
      </c>
      <c r="E1143" s="56">
        <f t="shared" si="35"/>
        <v>-3.6410119863117263E-4</v>
      </c>
    </row>
    <row r="1144" spans="1:5" x14ac:dyDescent="0.3">
      <c r="A1144" s="126">
        <v>45938</v>
      </c>
      <c r="B1144" s="127">
        <v>25046.150390625</v>
      </c>
      <c r="C1144" s="56">
        <f t="shared" si="34"/>
        <v>-2.4752925801897474E-3</v>
      </c>
      <c r="D1144" s="127">
        <v>5449.568359375</v>
      </c>
      <c r="E1144" s="56">
        <f t="shared" si="35"/>
        <v>2.7317536245030638E-4</v>
      </c>
    </row>
    <row r="1145" spans="1:5" x14ac:dyDescent="0.3">
      <c r="A1145" s="126">
        <v>45939</v>
      </c>
      <c r="B1145" s="127">
        <v>25181.80078125</v>
      </c>
      <c r="C1145" s="56">
        <f t="shared" si="34"/>
        <v>5.4160175719368819E-3</v>
      </c>
      <c r="D1145" s="127">
        <v>5436.67236328125</v>
      </c>
      <c r="E1145" s="56">
        <f t="shared" si="35"/>
        <v>-2.366425236517089E-3</v>
      </c>
    </row>
    <row r="1146" spans="1:5" x14ac:dyDescent="0.3">
      <c r="A1146" s="126">
        <v>45940</v>
      </c>
      <c r="B1146" s="127">
        <v>25285.349609375</v>
      </c>
      <c r="C1146" s="56">
        <f t="shared" si="34"/>
        <v>4.1120501676790155E-3</v>
      </c>
      <c r="D1146" s="127">
        <v>5410.88037109375</v>
      </c>
      <c r="E1146" s="56">
        <f t="shared" si="35"/>
        <v>-4.7440769765153545E-3</v>
      </c>
    </row>
    <row r="1147" spans="1:5" x14ac:dyDescent="0.3">
      <c r="A1147" s="126">
        <v>45943</v>
      </c>
      <c r="B1147" s="127">
        <v>25227.349609375</v>
      </c>
      <c r="C1147" s="56">
        <f t="shared" si="34"/>
        <v>-2.2938183927065925E-3</v>
      </c>
      <c r="D1147" s="127">
        <v>5448.576171875</v>
      </c>
      <c r="E1147" s="56">
        <f t="shared" si="35"/>
        <v>6.9666668260917053E-3</v>
      </c>
    </row>
    <row r="1148" spans="1:5" x14ac:dyDescent="0.3">
      <c r="A1148" s="126">
        <v>45944</v>
      </c>
      <c r="B1148" s="127">
        <v>25145.5</v>
      </c>
      <c r="C1148" s="56">
        <f t="shared" si="34"/>
        <v>-3.2444791324643951E-3</v>
      </c>
      <c r="D1148" s="127">
        <v>5449.072265625</v>
      </c>
      <c r="E1148" s="56">
        <f t="shared" si="35"/>
        <v>9.1050163262940131E-5</v>
      </c>
    </row>
    <row r="1149" spans="1:5" x14ac:dyDescent="0.3">
      <c r="A1149" s="126">
        <v>45945</v>
      </c>
      <c r="B1149" s="127">
        <v>25323.55078125</v>
      </c>
      <c r="C1149" s="56">
        <f t="shared" si="34"/>
        <v>7.0808208725219313E-3</v>
      </c>
      <c r="D1149" s="127">
        <v>5521.984375</v>
      </c>
      <c r="E1149" s="56">
        <f t="shared" si="35"/>
        <v>1.3380646433147847E-2</v>
      </c>
    </row>
    <row r="1150" spans="1:5" x14ac:dyDescent="0.3">
      <c r="A1150" s="126">
        <v>45946</v>
      </c>
      <c r="B1150" s="127">
        <v>25585.30078125</v>
      </c>
      <c r="C1150" s="56">
        <f t="shared" si="34"/>
        <v>1.0336228211479837E-2</v>
      </c>
      <c r="D1150" s="127">
        <v>5479.82421875</v>
      </c>
      <c r="E1150" s="56">
        <f t="shared" si="35"/>
        <v>-7.6349647856437386E-3</v>
      </c>
    </row>
    <row r="1151" spans="1:5" x14ac:dyDescent="0.3">
      <c r="A1151" s="126">
        <v>45947</v>
      </c>
      <c r="B1151" s="127">
        <v>25709.849609375</v>
      </c>
      <c r="C1151" s="56">
        <f t="shared" si="34"/>
        <v>4.8679837376106594E-3</v>
      </c>
      <c r="D1151" s="127">
        <v>5536.86474609375</v>
      </c>
      <c r="E1151" s="56">
        <f t="shared" si="35"/>
        <v>1.0409189248913764E-2</v>
      </c>
    </row>
    <row r="1152" spans="1:5" x14ac:dyDescent="0.3">
      <c r="A1152" s="126">
        <v>45950</v>
      </c>
      <c r="B1152" s="127">
        <v>25843.150390625</v>
      </c>
      <c r="C1152" s="56">
        <f t="shared" si="34"/>
        <v>5.184813729964155E-3</v>
      </c>
      <c r="D1152" s="127">
        <v>5512.560546875</v>
      </c>
      <c r="E1152" s="56">
        <f t="shared" si="35"/>
        <v>-4.3895237346905924E-3</v>
      </c>
    </row>
    <row r="1153" spans="1:5" x14ac:dyDescent="0.3">
      <c r="A1153" s="126">
        <v>45951</v>
      </c>
      <c r="B1153" s="127">
        <v>25868.599609375</v>
      </c>
      <c r="C1153" s="56">
        <f t="shared" si="34"/>
        <v>9.8475682590271063E-4</v>
      </c>
      <c r="D1153" s="127">
        <v>5503.13623046875</v>
      </c>
      <c r="E1153" s="56">
        <f t="shared" si="35"/>
        <v>-1.709607781377076E-3</v>
      </c>
    </row>
    <row r="1154" spans="1:5" x14ac:dyDescent="0.3">
      <c r="A1154" s="126">
        <v>45953</v>
      </c>
      <c r="B1154" s="127">
        <v>25891.400390625</v>
      </c>
      <c r="C1154" s="56">
        <f t="shared" si="34"/>
        <v>8.8140763683774992E-4</v>
      </c>
      <c r="D1154" s="127">
        <v>5489.74462890625</v>
      </c>
      <c r="E1154" s="56">
        <f t="shared" si="35"/>
        <v>-2.4334490373608686E-3</v>
      </c>
    </row>
    <row r="1155" spans="1:5" x14ac:dyDescent="0.3">
      <c r="A1155" s="126">
        <v>45954</v>
      </c>
      <c r="B1155" s="127">
        <v>25795.150390625</v>
      </c>
      <c r="C1155" s="56">
        <f t="shared" si="34"/>
        <v>-3.7174505259611745E-3</v>
      </c>
      <c r="D1155" s="127">
        <v>5500.65625</v>
      </c>
      <c r="E1155" s="56">
        <f t="shared" si="35"/>
        <v>1.9876372821232557E-3</v>
      </c>
    </row>
    <row r="1156" spans="1:5" x14ac:dyDescent="0.3">
      <c r="A1156" s="126">
        <v>45957</v>
      </c>
      <c r="B1156" s="127">
        <v>25966.05078125</v>
      </c>
      <c r="C1156" s="56">
        <f t="shared" si="34"/>
        <v>6.625291500029773E-3</v>
      </c>
      <c r="D1156" s="127">
        <v>5431.71240234375</v>
      </c>
      <c r="E1156" s="56">
        <f t="shared" si="35"/>
        <v>-1.2533749524204496E-2</v>
      </c>
    </row>
    <row r="1157" spans="1:5" x14ac:dyDescent="0.3">
      <c r="A1157" s="126">
        <v>45958</v>
      </c>
      <c r="B1157" s="127">
        <v>25936.19921875</v>
      </c>
      <c r="C1157" s="56">
        <f t="shared" si="34"/>
        <v>-1.149638146805021E-3</v>
      </c>
      <c r="D1157" s="127">
        <v>5388.56005859375</v>
      </c>
      <c r="E1157" s="56">
        <f t="shared" si="35"/>
        <v>-7.9445192516783836E-3</v>
      </c>
    </row>
    <row r="1158" spans="1:5" x14ac:dyDescent="0.3">
      <c r="A1158" s="126">
        <v>45959</v>
      </c>
      <c r="B1158" s="127">
        <v>26053.900390625</v>
      </c>
      <c r="C1158" s="56">
        <f t="shared" si="34"/>
        <v>4.5381040946781415E-3</v>
      </c>
      <c r="D1158" s="127">
        <v>5490.736328125</v>
      </c>
      <c r="E1158" s="56">
        <f t="shared" si="35"/>
        <v>1.8961701905557904E-2</v>
      </c>
    </row>
    <row r="1159" spans="1:5" x14ac:dyDescent="0.3">
      <c r="A1159" s="126">
        <v>45960</v>
      </c>
      <c r="B1159" s="127">
        <v>25877.849609375</v>
      </c>
      <c r="C1159" s="56">
        <f t="shared" ref="C1159:C1222" si="36">B1159/B1158-1</f>
        <v>-6.7571756478100875E-3</v>
      </c>
      <c r="D1159" s="127">
        <v>5480.81640625</v>
      </c>
      <c r="E1159" s="56">
        <f t="shared" ref="E1159:E1222" si="37">D1159/D1158-1</f>
        <v>-1.8066651323589422E-3</v>
      </c>
    </row>
    <row r="1160" spans="1:5" x14ac:dyDescent="0.3">
      <c r="A1160" s="126">
        <v>45961</v>
      </c>
      <c r="B1160" s="127">
        <v>25722.099609375</v>
      </c>
      <c r="C1160" s="56">
        <f t="shared" si="36"/>
        <v>-6.0186608373972161E-3</v>
      </c>
      <c r="D1160" s="127">
        <v>5462.46435546875</v>
      </c>
      <c r="E1160" s="56">
        <f t="shared" si="37"/>
        <v>-3.3484155317303754E-3</v>
      </c>
    </row>
    <row r="1161" spans="1:5" x14ac:dyDescent="0.3">
      <c r="A1161" s="126">
        <v>45964</v>
      </c>
      <c r="B1161" s="127">
        <v>25763.349609375</v>
      </c>
      <c r="C1161" s="56">
        <f t="shared" si="36"/>
        <v>1.6036793506921665E-3</v>
      </c>
      <c r="D1161" s="127">
        <v>5583.48876953125</v>
      </c>
      <c r="E1161" s="56">
        <f t="shared" si="37"/>
        <v>2.2155643714422801E-2</v>
      </c>
    </row>
    <row r="1162" spans="1:5" x14ac:dyDescent="0.3">
      <c r="A1162" s="126">
        <v>45965</v>
      </c>
      <c r="B1162" s="127">
        <v>25597.650390625</v>
      </c>
      <c r="C1162" s="56">
        <f t="shared" si="36"/>
        <v>-6.431586779760301E-3</v>
      </c>
      <c r="D1162" s="127">
        <v>5618.70458984375</v>
      </c>
      <c r="E1162" s="56">
        <f t="shared" si="37"/>
        <v>6.30713551438844E-3</v>
      </c>
    </row>
    <row r="1163" spans="1:5" x14ac:dyDescent="0.3">
      <c r="A1163" s="126">
        <v>45967</v>
      </c>
      <c r="B1163" s="127">
        <v>25509.69921875</v>
      </c>
      <c r="C1163" s="56">
        <f t="shared" si="36"/>
        <v>-3.4359080045569534E-3</v>
      </c>
      <c r="D1163" s="127">
        <v>5598.36865234375</v>
      </c>
      <c r="E1163" s="56">
        <f t="shared" si="37"/>
        <v>-3.6193284723953223E-3</v>
      </c>
    </row>
    <row r="1164" spans="1:5" x14ac:dyDescent="0.3">
      <c r="A1164" s="126">
        <v>45968</v>
      </c>
      <c r="B1164" s="127">
        <v>25492.30078125</v>
      </c>
      <c r="C1164" s="56">
        <f t="shared" si="36"/>
        <v>-6.8203224784446626E-4</v>
      </c>
      <c r="D1164" s="127">
        <v>5623.1689453125</v>
      </c>
      <c r="E1164" s="56">
        <f t="shared" si="37"/>
        <v>4.4299142319552676E-3</v>
      </c>
    </row>
    <row r="1165" spans="1:5" x14ac:dyDescent="0.3">
      <c r="A1165" s="126">
        <v>45971</v>
      </c>
      <c r="B1165" s="127">
        <v>25574.349609375</v>
      </c>
      <c r="C1165" s="56">
        <f t="shared" si="36"/>
        <v>3.2185728871263475E-3</v>
      </c>
      <c r="D1165" s="127">
        <v>5634.0810546875</v>
      </c>
      <c r="E1165" s="56">
        <f t="shared" si="37"/>
        <v>1.9405622489960805E-3</v>
      </c>
    </row>
    <row r="1166" spans="1:5" x14ac:dyDescent="0.3">
      <c r="A1166" s="126">
        <v>45972</v>
      </c>
      <c r="B1166" s="127">
        <v>25694.94921875</v>
      </c>
      <c r="C1166" s="56">
        <f t="shared" si="36"/>
        <v>4.7156471705849246E-3</v>
      </c>
      <c r="D1166" s="127">
        <v>5650.94482421875</v>
      </c>
      <c r="E1166" s="56">
        <f t="shared" si="37"/>
        <v>2.9931712674278188E-3</v>
      </c>
    </row>
    <row r="1167" spans="1:5" x14ac:dyDescent="0.3">
      <c r="A1167" s="126">
        <v>45973</v>
      </c>
      <c r="B1167" s="127">
        <v>25875.80078125</v>
      </c>
      <c r="C1167" s="56">
        <f t="shared" si="36"/>
        <v>7.0384090258497345E-3</v>
      </c>
      <c r="D1167" s="127">
        <v>5721.376953125</v>
      </c>
      <c r="E1167" s="56">
        <f t="shared" si="37"/>
        <v>1.246377926119413E-2</v>
      </c>
    </row>
    <row r="1168" spans="1:5" x14ac:dyDescent="0.3">
      <c r="A1168" s="126">
        <v>45974</v>
      </c>
      <c r="B1168" s="127">
        <v>25879.150390625</v>
      </c>
      <c r="C1168" s="56">
        <f t="shared" si="36"/>
        <v>1.2944949620363744E-4</v>
      </c>
      <c r="D1168" s="127">
        <v>5679.712890625</v>
      </c>
      <c r="E1168" s="56">
        <f t="shared" si="37"/>
        <v>-7.2821740013552239E-3</v>
      </c>
    </row>
    <row r="1169" spans="1:5" x14ac:dyDescent="0.3">
      <c r="A1169" s="126">
        <v>45975</v>
      </c>
      <c r="B1169" s="127">
        <v>25910.05078125</v>
      </c>
      <c r="C1169" s="56">
        <f t="shared" si="36"/>
        <v>1.194026471448284E-3</v>
      </c>
      <c r="D1169" s="127">
        <v>5676.73681640625</v>
      </c>
      <c r="E1169" s="56">
        <f t="shared" si="37"/>
        <v>-5.2398321465552122E-4</v>
      </c>
    </row>
    <row r="1170" spans="1:5" x14ac:dyDescent="0.3">
      <c r="A1170" s="126">
        <v>45978</v>
      </c>
      <c r="B1170" s="127">
        <v>26013.44921875</v>
      </c>
      <c r="C1170" s="56">
        <f t="shared" si="36"/>
        <v>3.9906690408659795E-3</v>
      </c>
      <c r="D1170" s="127">
        <v>5677.23291015625</v>
      </c>
      <c r="E1170" s="56">
        <f t="shared" si="37"/>
        <v>8.7390655238106518E-5</v>
      </c>
    </row>
    <row r="1171" spans="1:5" x14ac:dyDescent="0.3">
      <c r="A1171" s="126">
        <v>45979</v>
      </c>
      <c r="B1171" s="127">
        <v>25910.05078125</v>
      </c>
      <c r="C1171" s="56">
        <f t="shared" si="36"/>
        <v>-3.9748069020186794E-3</v>
      </c>
      <c r="D1171" s="127">
        <v>5667.31298828125</v>
      </c>
      <c r="E1171" s="56">
        <f t="shared" si="37"/>
        <v>-1.7473163479436726E-3</v>
      </c>
    </row>
    <row r="1172" spans="1:5" x14ac:dyDescent="0.3">
      <c r="A1172" s="126">
        <v>45980</v>
      </c>
      <c r="B1172" s="127">
        <v>26052.650390625</v>
      </c>
      <c r="C1172" s="56">
        <f t="shared" si="36"/>
        <v>5.5036406751542977E-3</v>
      </c>
      <c r="D1172" s="127">
        <v>5678.22509765625</v>
      </c>
      <c r="E1172" s="56">
        <f t="shared" si="37"/>
        <v>1.9254467500848804E-3</v>
      </c>
    </row>
    <row r="1173" spans="1:5" x14ac:dyDescent="0.3">
      <c r="A1173" s="126">
        <v>45981</v>
      </c>
      <c r="B1173" s="127">
        <v>26192.150390625</v>
      </c>
      <c r="C1173" s="56">
        <f t="shared" si="36"/>
        <v>5.354541588221684E-3</v>
      </c>
      <c r="D1173" s="127">
        <v>5654.4169921875</v>
      </c>
      <c r="E1173" s="56">
        <f t="shared" si="37"/>
        <v>-4.1928780665241305E-3</v>
      </c>
    </row>
    <row r="1174" spans="1:5" x14ac:dyDescent="0.3">
      <c r="A1174" s="126">
        <v>45982</v>
      </c>
      <c r="B1174" s="127">
        <v>26068.150390625</v>
      </c>
      <c r="C1174" s="56">
        <f t="shared" si="36"/>
        <v>-4.7342428227803435E-3</v>
      </c>
      <c r="D1174" s="127">
        <v>5654.4169921875</v>
      </c>
      <c r="E1174" s="56">
        <f t="shared" si="37"/>
        <v>0</v>
      </c>
    </row>
    <row r="1175" spans="1:5" x14ac:dyDescent="0.3">
      <c r="A1175" s="126">
        <v>45985</v>
      </c>
      <c r="B1175" s="127">
        <v>25959.5</v>
      </c>
      <c r="C1175" s="56">
        <f t="shared" si="36"/>
        <v>-4.1679363129680791E-3</v>
      </c>
      <c r="D1175" s="127">
        <v>5580.0166015625</v>
      </c>
      <c r="E1175" s="56">
        <f t="shared" si="37"/>
        <v>-1.3157924278983324E-2</v>
      </c>
    </row>
    <row r="1176" spans="1:5" x14ac:dyDescent="0.3">
      <c r="A1176" s="126">
        <v>45986</v>
      </c>
      <c r="B1176" s="127">
        <v>25884.80078125</v>
      </c>
      <c r="C1176" s="56">
        <f t="shared" si="36"/>
        <v>-2.877529180069005E-3</v>
      </c>
      <c r="D1176" s="127">
        <v>5655.40869140625</v>
      </c>
      <c r="E1176" s="56">
        <f t="shared" si="37"/>
        <v>1.3511087014085099E-2</v>
      </c>
    </row>
    <row r="1177" spans="1:5" x14ac:dyDescent="0.3">
      <c r="A1177" s="126">
        <v>45987</v>
      </c>
      <c r="B1177" s="127">
        <v>26205.30078125</v>
      </c>
      <c r="C1177" s="56">
        <f t="shared" si="36"/>
        <v>1.2381783530362567E-2</v>
      </c>
      <c r="D1177" s="127">
        <v>5726.8330078125</v>
      </c>
      <c r="E1177" s="56">
        <f t="shared" si="37"/>
        <v>1.262938194277341E-2</v>
      </c>
    </row>
    <row r="1178" spans="1:5" x14ac:dyDescent="0.3">
      <c r="A1178" s="126">
        <v>45988</v>
      </c>
      <c r="B1178" s="127">
        <v>26215.55078125</v>
      </c>
      <c r="C1178" s="56">
        <f t="shared" si="36"/>
        <v>3.9114223818925709E-4</v>
      </c>
      <c r="D1178" s="127">
        <v>5641.02490234375</v>
      </c>
      <c r="E1178" s="56">
        <f t="shared" si="37"/>
        <v>-1.4983518002304463E-2</v>
      </c>
    </row>
    <row r="1179" spans="1:5" x14ac:dyDescent="0.3">
      <c r="A1179" s="126">
        <v>45989</v>
      </c>
      <c r="B1179" s="127">
        <v>26202.94921875</v>
      </c>
      <c r="C1179" s="56">
        <f t="shared" si="36"/>
        <v>-4.806903583736144E-4</v>
      </c>
      <c r="D1179" s="127">
        <v>5639.53662109375</v>
      </c>
      <c r="E1179" s="56">
        <f t="shared" si="37"/>
        <v>-2.6383171068466993E-4</v>
      </c>
    </row>
    <row r="1180" spans="1:5" x14ac:dyDescent="0.3">
      <c r="A1180" s="126">
        <v>45992</v>
      </c>
      <c r="B1180" s="127">
        <v>26175.75</v>
      </c>
      <c r="C1180" s="56">
        <f t="shared" si="36"/>
        <v>-1.0380212747401751E-3</v>
      </c>
      <c r="D1180" s="127">
        <v>5564.640625</v>
      </c>
      <c r="E1180" s="56">
        <f t="shared" si="37"/>
        <v>-1.3280523051063087E-2</v>
      </c>
    </row>
    <row r="1181" spans="1:5" x14ac:dyDescent="0.3">
      <c r="A1181" s="126">
        <v>45993</v>
      </c>
      <c r="B1181" s="127">
        <v>26032.19921875</v>
      </c>
      <c r="C1181" s="56">
        <f t="shared" si="36"/>
        <v>-5.4841133969418809E-3</v>
      </c>
      <c r="D1181" s="127">
        <v>5593.40869140625</v>
      </c>
      <c r="E1181" s="56">
        <f t="shared" si="37"/>
        <v>5.1697977182938448E-3</v>
      </c>
    </row>
    <row r="1182" spans="1:5" x14ac:dyDescent="0.3">
      <c r="A1182" s="126">
        <v>45994</v>
      </c>
      <c r="B1182" s="127">
        <v>25986</v>
      </c>
      <c r="C1182" s="56">
        <f t="shared" si="36"/>
        <v>-1.7746951904364927E-3</v>
      </c>
      <c r="D1182" s="127">
        <v>5602.3369140625</v>
      </c>
      <c r="E1182" s="56">
        <f t="shared" si="37"/>
        <v>1.5962042376713725E-3</v>
      </c>
    </row>
    <row r="1183" spans="1:5" x14ac:dyDescent="0.3">
      <c r="A1183" s="126">
        <v>45995</v>
      </c>
      <c r="B1183" s="127">
        <v>26033.75</v>
      </c>
      <c r="C1183" s="56">
        <f t="shared" si="36"/>
        <v>1.8375278996383138E-3</v>
      </c>
      <c r="D1183" s="127">
        <v>5613.74462890625</v>
      </c>
      <c r="E1183" s="56">
        <f t="shared" si="37"/>
        <v>2.0362422001281022E-3</v>
      </c>
    </row>
    <row r="1184" spans="1:5" x14ac:dyDescent="0.3">
      <c r="A1184" s="126">
        <v>45996</v>
      </c>
      <c r="B1184" s="127">
        <v>26186.44921875</v>
      </c>
      <c r="C1184" s="56">
        <f t="shared" si="36"/>
        <v>5.8654330916598774E-3</v>
      </c>
      <c r="D1184" s="127">
        <v>5630.11279296875</v>
      </c>
      <c r="E1184" s="56">
        <f t="shared" si="37"/>
        <v>2.9157300776057049E-3</v>
      </c>
    </row>
    <row r="1185" spans="1:5" x14ac:dyDescent="0.3">
      <c r="A1185" s="126">
        <v>45999</v>
      </c>
      <c r="B1185" s="127">
        <v>25960.55078125</v>
      </c>
      <c r="C1185" s="56">
        <f t="shared" si="36"/>
        <v>-8.6265394598917799E-3</v>
      </c>
      <c r="D1185" s="127">
        <v>5554.224609375</v>
      </c>
      <c r="E1185" s="56">
        <f t="shared" si="37"/>
        <v>-1.3478981040757176E-2</v>
      </c>
    </row>
    <row r="1186" spans="1:5" x14ac:dyDescent="0.3">
      <c r="A1186" s="126">
        <v>46000</v>
      </c>
      <c r="B1186" s="127">
        <v>25839.650390625</v>
      </c>
      <c r="C1186" s="56">
        <f t="shared" si="36"/>
        <v>-4.6570811090926867E-3</v>
      </c>
      <c r="D1186" s="127">
        <v>5622.1767578125</v>
      </c>
      <c r="E1186" s="56">
        <f t="shared" si="37"/>
        <v>1.2234317698064157E-2</v>
      </c>
    </row>
    <row r="1187" spans="1:5" x14ac:dyDescent="0.3">
      <c r="A1187" s="126">
        <v>46001</v>
      </c>
      <c r="B1187" s="127">
        <v>25758</v>
      </c>
      <c r="C1187" s="56">
        <f t="shared" si="36"/>
        <v>-3.1598875909956137E-3</v>
      </c>
      <c r="D1187" s="127">
        <v>5553.728515625</v>
      </c>
      <c r="E1187" s="56">
        <f t="shared" si="37"/>
        <v>-1.2174686982650451E-2</v>
      </c>
    </row>
    <row r="1188" spans="1:5" x14ac:dyDescent="0.3">
      <c r="A1188" s="126">
        <v>46002</v>
      </c>
      <c r="B1188" s="127">
        <v>25898.55078125</v>
      </c>
      <c r="C1188" s="56">
        <f t="shared" si="36"/>
        <v>5.4565875164998001E-3</v>
      </c>
      <c r="D1188" s="127">
        <v>5581.0087890625</v>
      </c>
      <c r="E1188" s="56">
        <f t="shared" si="37"/>
        <v>4.9120646356315412E-3</v>
      </c>
    </row>
    <row r="1189" spans="1:5" x14ac:dyDescent="0.3">
      <c r="A1189" s="126">
        <v>46003</v>
      </c>
      <c r="B1189" s="127">
        <v>26046.94921875</v>
      </c>
      <c r="C1189" s="56">
        <f t="shared" si="36"/>
        <v>5.7299900196514653E-3</v>
      </c>
      <c r="D1189" s="127">
        <v>5585.96875</v>
      </c>
      <c r="E1189" s="56">
        <f t="shared" si="37"/>
        <v>8.8872121957961348E-4</v>
      </c>
    </row>
    <row r="1190" spans="1:5" x14ac:dyDescent="0.3">
      <c r="A1190" s="126">
        <v>46006</v>
      </c>
      <c r="B1190" s="127">
        <v>26027.30078125</v>
      </c>
      <c r="C1190" s="56">
        <f t="shared" si="36"/>
        <v>-7.5434698071497053E-4</v>
      </c>
      <c r="D1190" s="127">
        <v>5579.5205078125</v>
      </c>
      <c r="E1190" s="56">
        <f t="shared" si="37"/>
        <v>-1.154364171389255E-3</v>
      </c>
    </row>
    <row r="1191" spans="1:5" x14ac:dyDescent="0.3">
      <c r="A1191" s="126">
        <v>46007</v>
      </c>
      <c r="B1191" s="127">
        <v>25860.099609375</v>
      </c>
      <c r="C1191" s="56">
        <f t="shared" si="36"/>
        <v>-6.4240688375742927E-3</v>
      </c>
      <c r="D1191" s="127">
        <v>5618.208984375</v>
      </c>
      <c r="E1191" s="56">
        <f t="shared" si="37"/>
        <v>6.934014582136161E-3</v>
      </c>
    </row>
    <row r="1192" spans="1:5" x14ac:dyDescent="0.3">
      <c r="A1192" s="126">
        <v>46008</v>
      </c>
      <c r="B1192" s="127">
        <v>25818.55078125</v>
      </c>
      <c r="C1192" s="56">
        <f t="shared" si="36"/>
        <v>-1.6066770334456359E-3</v>
      </c>
      <c r="D1192" s="127">
        <v>5583.48876953125</v>
      </c>
      <c r="E1192" s="56">
        <f t="shared" si="37"/>
        <v>-6.1799436333378477E-3</v>
      </c>
    </row>
    <row r="1193" spans="1:5" x14ac:dyDescent="0.3">
      <c r="A1193" s="126">
        <v>46009</v>
      </c>
      <c r="B1193" s="127">
        <v>25815.55078125</v>
      </c>
      <c r="C1193" s="56">
        <f t="shared" si="36"/>
        <v>-1.1619552256891819E-4</v>
      </c>
      <c r="D1193" s="127">
        <v>5476.84814453125</v>
      </c>
      <c r="E1193" s="56">
        <f t="shared" si="37"/>
        <v>-1.9099281721838723E-2</v>
      </c>
    </row>
    <row r="1194" spans="1:5" x14ac:dyDescent="0.3">
      <c r="A1194" s="126">
        <v>46010</v>
      </c>
      <c r="B1194" s="127">
        <v>25966.400390625</v>
      </c>
      <c r="C1194" s="56">
        <f t="shared" si="36"/>
        <v>5.8433620360547334E-3</v>
      </c>
      <c r="D1194" s="127">
        <v>5511.072265625</v>
      </c>
      <c r="E1194" s="56">
        <f t="shared" si="37"/>
        <v>6.2488716485453732E-3</v>
      </c>
    </row>
    <row r="1195" spans="1:5" x14ac:dyDescent="0.3">
      <c r="A1195" s="126">
        <v>46013</v>
      </c>
      <c r="B1195" s="127">
        <v>26172.400390625</v>
      </c>
      <c r="C1195" s="56">
        <f t="shared" si="36"/>
        <v>7.9333291061156608E-3</v>
      </c>
      <c r="D1195" s="127">
        <v>5579.02490234375</v>
      </c>
      <c r="E1195" s="56">
        <f t="shared" si="37"/>
        <v>1.2330202444014615E-2</v>
      </c>
    </row>
    <row r="1196" spans="1:5" x14ac:dyDescent="0.3">
      <c r="A1196" s="126">
        <v>46014</v>
      </c>
      <c r="B1196" s="127">
        <v>26177.150390625</v>
      </c>
      <c r="C1196" s="56">
        <f t="shared" si="36"/>
        <v>1.8148889399149937E-4</v>
      </c>
      <c r="D1196" s="127">
        <v>5552.24072265625</v>
      </c>
      <c r="E1196" s="56">
        <f t="shared" si="37"/>
        <v>-4.8008711479756716E-3</v>
      </c>
    </row>
    <row r="1197" spans="1:5" x14ac:dyDescent="0.3">
      <c r="A1197" s="126">
        <v>46015</v>
      </c>
      <c r="B1197" s="127">
        <v>26142.099609375</v>
      </c>
      <c r="C1197" s="56">
        <f t="shared" si="36"/>
        <v>-1.3389838361685946E-3</v>
      </c>
      <c r="D1197" s="127">
        <v>5521.48828125</v>
      </c>
      <c r="E1197" s="56">
        <f t="shared" si="37"/>
        <v>-5.5387442552270461E-3</v>
      </c>
    </row>
    <row r="1198" spans="1:5" x14ac:dyDescent="0.3">
      <c r="A1198" s="126">
        <v>46017</v>
      </c>
      <c r="B1198" s="127">
        <v>26042.30078125</v>
      </c>
      <c r="C1198" s="56">
        <f t="shared" si="36"/>
        <v>-3.8175521330050532E-3</v>
      </c>
      <c r="D1198" s="127">
        <v>5490.736328125</v>
      </c>
      <c r="E1198" s="56">
        <f t="shared" si="37"/>
        <v>-5.569504372476608E-3</v>
      </c>
    </row>
    <row r="1199" spans="1:5" x14ac:dyDescent="0.3">
      <c r="A1199" s="126">
        <v>46020</v>
      </c>
      <c r="B1199" s="127">
        <v>25942.099609375</v>
      </c>
      <c r="C1199" s="56">
        <f t="shared" si="36"/>
        <v>-3.8476313101776238E-3</v>
      </c>
      <c r="D1199" s="127">
        <v>5460.97607421875</v>
      </c>
      <c r="E1199" s="56">
        <f t="shared" si="37"/>
        <v>-5.4200843252679709E-3</v>
      </c>
    </row>
    <row r="1200" spans="1:5" x14ac:dyDescent="0.3">
      <c r="A1200" s="126">
        <v>46021</v>
      </c>
      <c r="B1200" s="127">
        <v>25938.849609375</v>
      </c>
      <c r="C1200" s="56">
        <f t="shared" si="36"/>
        <v>-1.2527898855285713E-4</v>
      </c>
      <c r="D1200" s="127">
        <v>5425.26416015625</v>
      </c>
      <c r="E1200" s="56">
        <f t="shared" si="37"/>
        <v>-6.5394745512795671E-3</v>
      </c>
    </row>
    <row r="1201" spans="1:5" x14ac:dyDescent="0.3">
      <c r="A1201" s="126">
        <v>46022</v>
      </c>
      <c r="B1201" s="127">
        <v>26129.599609375</v>
      </c>
      <c r="C1201" s="56">
        <f t="shared" si="36"/>
        <v>7.3538342244390265E-3</v>
      </c>
      <c r="D1201" s="127">
        <v>5462.46435546875</v>
      </c>
      <c r="E1201" s="56">
        <f t="shared" si="37"/>
        <v>6.856844978296639E-3</v>
      </c>
    </row>
    <row r="1202" spans="1:5" x14ac:dyDescent="0.3">
      <c r="A1202" s="126">
        <v>46023</v>
      </c>
      <c r="B1202" s="127">
        <v>26146.55078125</v>
      </c>
      <c r="C1202" s="56">
        <f t="shared" si="36"/>
        <v>6.4873446698032744E-4</v>
      </c>
      <c r="D1202" s="127">
        <v>5419.80810546875</v>
      </c>
      <c r="E1202" s="56">
        <f t="shared" si="37"/>
        <v>-7.8089754411476697E-3</v>
      </c>
    </row>
    <row r="1203" spans="1:5" x14ac:dyDescent="0.3">
      <c r="A1203" s="126">
        <v>46024</v>
      </c>
      <c r="B1203" s="127">
        <v>26328.55078125</v>
      </c>
      <c r="C1203" s="56">
        <f t="shared" si="36"/>
        <v>6.9607651702385809E-3</v>
      </c>
      <c r="D1203" s="127">
        <v>5547.7763671875</v>
      </c>
      <c r="E1203" s="56">
        <f t="shared" si="37"/>
        <v>2.3611216343550234E-2</v>
      </c>
    </row>
    <row r="1204" spans="1:5" x14ac:dyDescent="0.3">
      <c r="A1204" s="126">
        <v>46027</v>
      </c>
      <c r="B1204" s="127">
        <v>26250.30078125</v>
      </c>
      <c r="C1204" s="56">
        <f t="shared" si="36"/>
        <v>-2.9720587604740167E-3</v>
      </c>
      <c r="D1204" s="127">
        <v>5508.0966796875</v>
      </c>
      <c r="E1204" s="56">
        <f t="shared" si="37"/>
        <v>-7.1523588684444528E-3</v>
      </c>
    </row>
    <row r="1205" spans="1:5" x14ac:dyDescent="0.3">
      <c r="A1205" s="126">
        <v>46028</v>
      </c>
      <c r="B1205" s="127">
        <v>26178.69921875</v>
      </c>
      <c r="C1205" s="56">
        <f t="shared" si="36"/>
        <v>-2.7276473171363724E-3</v>
      </c>
      <c r="D1205" s="127">
        <v>5610.27294921875</v>
      </c>
      <c r="E1205" s="56">
        <f t="shared" si="37"/>
        <v>1.8550195371125344E-2</v>
      </c>
    </row>
    <row r="1206" spans="1:5" x14ac:dyDescent="0.3">
      <c r="A1206" s="126">
        <v>46029</v>
      </c>
      <c r="B1206" s="127">
        <v>26140.75</v>
      </c>
      <c r="C1206" s="56">
        <f t="shared" si="36"/>
        <v>-1.4496220164682549E-3</v>
      </c>
      <c r="D1206" s="127">
        <v>5760.0654296875</v>
      </c>
      <c r="E1206" s="56">
        <f t="shared" si="37"/>
        <v>2.6699677863197158E-2</v>
      </c>
    </row>
    <row r="1207" spans="1:5" x14ac:dyDescent="0.3">
      <c r="A1207" s="126">
        <v>46030</v>
      </c>
      <c r="B1207" s="127">
        <v>25876.849609375</v>
      </c>
      <c r="C1207" s="56">
        <f t="shared" si="36"/>
        <v>-1.0095364158449915E-2</v>
      </c>
      <c r="D1207" s="127">
        <v>5746.67333984375</v>
      </c>
      <c r="E1207" s="56">
        <f t="shared" si="37"/>
        <v>-2.3249891875753992E-3</v>
      </c>
    </row>
    <row r="1208" spans="1:5" x14ac:dyDescent="0.3">
      <c r="A1208" s="126">
        <v>46031</v>
      </c>
      <c r="B1208" s="127">
        <v>25683.30078125</v>
      </c>
      <c r="C1208" s="56">
        <f t="shared" si="36"/>
        <v>-7.4796132854935138E-3</v>
      </c>
      <c r="D1208" s="127">
        <v>5752.625</v>
      </c>
      <c r="E1208" s="56">
        <f t="shared" si="37"/>
        <v>1.0356705182779091E-3</v>
      </c>
    </row>
    <row r="1209" spans="1:5" x14ac:dyDescent="0.3">
      <c r="A1209" s="126">
        <v>46034</v>
      </c>
      <c r="B1209" s="127">
        <v>25790.25</v>
      </c>
      <c r="C1209" s="56">
        <f t="shared" si="36"/>
        <v>4.1641539637333747E-3</v>
      </c>
      <c r="D1209" s="127">
        <v>5820.08154296875</v>
      </c>
      <c r="E1209" s="56">
        <f t="shared" si="37"/>
        <v>1.1726219416136052E-2</v>
      </c>
    </row>
    <row r="1210" spans="1:5" x14ac:dyDescent="0.3">
      <c r="A1210" s="126">
        <v>46035</v>
      </c>
      <c r="B1210" s="127">
        <v>25732.30078125</v>
      </c>
      <c r="C1210" s="56">
        <f t="shared" si="36"/>
        <v>-2.2469428853927331E-3</v>
      </c>
      <c r="D1210" s="127">
        <v>5816.609375</v>
      </c>
      <c r="E1210" s="56">
        <f t="shared" si="37"/>
        <v>-5.9658407586138384E-4</v>
      </c>
    </row>
    <row r="1211" spans="1:5" x14ac:dyDescent="0.3">
      <c r="A1211" s="126">
        <v>46036</v>
      </c>
      <c r="B1211" s="127">
        <v>25665.599609375</v>
      </c>
      <c r="C1211" s="56">
        <f t="shared" si="36"/>
        <v>-2.59211846006413E-3</v>
      </c>
      <c r="D1211" s="127">
        <v>5783.873046875</v>
      </c>
      <c r="E1211" s="56">
        <f t="shared" si="37"/>
        <v>-5.6280774613647333E-3</v>
      </c>
    </row>
    <row r="1212" spans="1:5" x14ac:dyDescent="0.3">
      <c r="A1212" s="126">
        <v>46038</v>
      </c>
      <c r="B1212" s="127">
        <v>25694.349609375</v>
      </c>
      <c r="C1212" s="56">
        <f t="shared" si="36"/>
        <v>1.1201764399650926E-3</v>
      </c>
      <c r="D1212" s="127">
        <v>5789.8251953125</v>
      </c>
      <c r="E1212" s="56">
        <f t="shared" si="37"/>
        <v>1.0290938942230099E-3</v>
      </c>
    </row>
    <row r="1213" spans="1:5" x14ac:dyDescent="0.3">
      <c r="A1213" s="126">
        <v>46041</v>
      </c>
      <c r="B1213" s="127">
        <v>25585.5</v>
      </c>
      <c r="C1213" s="56">
        <f t="shared" si="36"/>
        <v>-4.2363247573811158E-3</v>
      </c>
      <c r="D1213" s="127">
        <v>5702.033203125</v>
      </c>
      <c r="E1213" s="56">
        <f t="shared" si="37"/>
        <v>-1.5163150738743747E-2</v>
      </c>
    </row>
    <row r="1214" spans="1:5" x14ac:dyDescent="0.3">
      <c r="A1214" s="126">
        <v>46042</v>
      </c>
      <c r="B1214" s="127">
        <v>25232.5</v>
      </c>
      <c r="C1214" s="56">
        <f t="shared" si="36"/>
        <v>-1.3796877137441155E-2</v>
      </c>
      <c r="D1214" s="127">
        <v>5674.7529296875</v>
      </c>
      <c r="E1214" s="56">
        <f t="shared" si="37"/>
        <v>-4.7843063106943751E-3</v>
      </c>
    </row>
    <row r="1215" spans="1:5" x14ac:dyDescent="0.3">
      <c r="A1215" s="126">
        <v>46043</v>
      </c>
      <c r="B1215" s="127">
        <v>25157.5</v>
      </c>
      <c r="C1215" s="56">
        <f t="shared" si="36"/>
        <v>-2.9723570791637677E-3</v>
      </c>
      <c r="D1215" s="127">
        <v>5611.2646484375</v>
      </c>
      <c r="E1215" s="56">
        <f t="shared" si="37"/>
        <v>-1.1187849415938533E-2</v>
      </c>
    </row>
    <row r="1216" spans="1:5" x14ac:dyDescent="0.3">
      <c r="A1216" s="126">
        <v>46044</v>
      </c>
      <c r="B1216" s="127">
        <v>25289.900390625</v>
      </c>
      <c r="C1216" s="56">
        <f t="shared" si="36"/>
        <v>5.2628596094603797E-3</v>
      </c>
      <c r="D1216" s="127">
        <v>5712.44921875</v>
      </c>
      <c r="E1216" s="56">
        <f t="shared" si="37"/>
        <v>1.8032400296905449E-2</v>
      </c>
    </row>
    <row r="1217" spans="1:5" x14ac:dyDescent="0.3">
      <c r="A1217" s="126">
        <v>46045</v>
      </c>
      <c r="B1217" s="127">
        <v>25048.650390625</v>
      </c>
      <c r="C1217" s="56">
        <f t="shared" si="36"/>
        <v>-9.539381186706164E-3</v>
      </c>
      <c r="D1217" s="127">
        <v>5704.51318359375</v>
      </c>
      <c r="E1217" s="56">
        <f t="shared" si="37"/>
        <v>-1.3892526396911409E-3</v>
      </c>
    </row>
    <row r="1218" spans="1:5" x14ac:dyDescent="0.3">
      <c r="A1218" s="126">
        <v>46049</v>
      </c>
      <c r="B1218" s="127">
        <v>25175.400390625</v>
      </c>
      <c r="C1218" s="56">
        <f t="shared" si="36"/>
        <v>5.0601528634628412E-3</v>
      </c>
      <c r="D1218" s="127">
        <v>5707.98486328125</v>
      </c>
      <c r="E1218" s="56">
        <f t="shared" si="37"/>
        <v>6.0858474260072626E-4</v>
      </c>
    </row>
    <row r="1219" spans="1:5" x14ac:dyDescent="0.3">
      <c r="A1219" s="126">
        <v>46050</v>
      </c>
      <c r="B1219" s="127">
        <v>25342.75</v>
      </c>
      <c r="C1219" s="56">
        <f t="shared" si="36"/>
        <v>6.6473464881742217E-3</v>
      </c>
      <c r="D1219" s="127">
        <v>5676.73681640625</v>
      </c>
      <c r="E1219" s="56">
        <f t="shared" si="37"/>
        <v>-5.4744445935753783E-3</v>
      </c>
    </row>
    <row r="1220" spans="1:5" x14ac:dyDescent="0.3">
      <c r="A1220" s="126">
        <v>46051</v>
      </c>
      <c r="B1220" s="127">
        <v>25418.900390625</v>
      </c>
      <c r="C1220" s="56">
        <f t="shared" si="36"/>
        <v>3.0048195489833507E-3</v>
      </c>
      <c r="D1220" s="127">
        <v>5667.31298828125</v>
      </c>
      <c r="E1220" s="56">
        <f t="shared" si="37"/>
        <v>-1.6600783918261364E-3</v>
      </c>
    </row>
    <row r="1221" spans="1:5" x14ac:dyDescent="0.3">
      <c r="A1221" s="126">
        <v>46052</v>
      </c>
      <c r="B1221" s="127">
        <v>25320.650390625</v>
      </c>
      <c r="C1221" s="56">
        <f t="shared" si="36"/>
        <v>-3.8652340774046889E-3</v>
      </c>
      <c r="D1221" s="127">
        <v>5632.0966796875</v>
      </c>
      <c r="E1221" s="56">
        <f t="shared" si="37"/>
        <v>-6.2139339518691994E-3</v>
      </c>
    </row>
    <row r="1222" spans="1:5" x14ac:dyDescent="0.3">
      <c r="A1222" s="126">
        <v>46055</v>
      </c>
      <c r="B1222" s="127">
        <v>25088.400390625</v>
      </c>
      <c r="C1222" s="56">
        <f t="shared" si="36"/>
        <v>-9.1723552285208898E-3</v>
      </c>
      <c r="D1222" s="127">
        <v>5477.34423828125</v>
      </c>
      <c r="E1222" s="56">
        <f t="shared" si="37"/>
        <v>-2.747687943006627E-2</v>
      </c>
    </row>
    <row r="1223" spans="1:5" x14ac:dyDescent="0.3">
      <c r="A1223" s="126">
        <v>46056</v>
      </c>
      <c r="B1223" s="127">
        <v>25727.55078125</v>
      </c>
      <c r="C1223" s="56">
        <f t="shared" ref="C1223:C1239" si="38">B1223/B1222-1</f>
        <v>2.5475932330218942E-2</v>
      </c>
      <c r="D1223" s="127">
        <v>5656.89697265625</v>
      </c>
      <c r="E1223" s="56">
        <f t="shared" ref="E1223:E1239" si="39">D1223/D1222-1</f>
        <v>3.2780984098115029E-2</v>
      </c>
    </row>
    <row r="1224" spans="1:5" x14ac:dyDescent="0.3">
      <c r="A1224" s="126">
        <v>46057</v>
      </c>
      <c r="B1224" s="127">
        <v>25776</v>
      </c>
      <c r="C1224" s="56">
        <f t="shared" si="38"/>
        <v>1.8831648283172964E-3</v>
      </c>
      <c r="D1224" s="127">
        <v>5608.28857421875</v>
      </c>
      <c r="E1224" s="56">
        <f t="shared" si="39"/>
        <v>-8.5927671429156804E-3</v>
      </c>
    </row>
    <row r="1225" spans="1:5" x14ac:dyDescent="0.3">
      <c r="A1225" s="126">
        <v>46058</v>
      </c>
      <c r="B1225" s="127">
        <v>25642.80078125</v>
      </c>
      <c r="C1225" s="56">
        <f t="shared" si="38"/>
        <v>-5.1675674561607599E-3</v>
      </c>
      <c r="D1225" s="127">
        <v>5617.216796875</v>
      </c>
      <c r="E1225" s="56">
        <f t="shared" si="39"/>
        <v>1.591969196680143E-3</v>
      </c>
    </row>
    <row r="1226" spans="1:5" x14ac:dyDescent="0.3">
      <c r="A1226" s="126">
        <v>46059</v>
      </c>
      <c r="B1226" s="127">
        <v>25693.69921875</v>
      </c>
      <c r="C1226" s="56">
        <f t="shared" si="38"/>
        <v>1.9849016468285186E-3</v>
      </c>
      <c r="D1226" s="127">
        <v>5638.544921875</v>
      </c>
      <c r="E1226" s="56">
        <f t="shared" si="39"/>
        <v>3.7969203915835248E-3</v>
      </c>
    </row>
    <row r="1227" spans="1:5" x14ac:dyDescent="0.3">
      <c r="A1227" s="126">
        <v>46062</v>
      </c>
      <c r="B1227" s="127">
        <v>25867.30078125</v>
      </c>
      <c r="C1227" s="56">
        <f t="shared" si="38"/>
        <v>6.7565810988132746E-3</v>
      </c>
      <c r="D1227" s="127">
        <v>5704.51318359375</v>
      </c>
      <c r="E1227" s="56">
        <f t="shared" si="39"/>
        <v>1.1699518693701005E-2</v>
      </c>
    </row>
    <row r="1228" spans="1:5" x14ac:dyDescent="0.3">
      <c r="A1228" s="126">
        <v>46063</v>
      </c>
      <c r="B1228" s="127">
        <v>25935.150390625</v>
      </c>
      <c r="C1228" s="56">
        <f t="shared" si="38"/>
        <v>2.6229876069705504E-3</v>
      </c>
      <c r="D1228" s="127">
        <v>5765.025390625</v>
      </c>
      <c r="E1228" s="56">
        <f t="shared" si="39"/>
        <v>1.0607777576057575E-2</v>
      </c>
    </row>
    <row r="1229" spans="1:5" x14ac:dyDescent="0.3">
      <c r="A1229" s="126">
        <v>46064</v>
      </c>
      <c r="B1229" s="127">
        <v>25953.849609375</v>
      </c>
      <c r="C1229" s="56">
        <f t="shared" si="38"/>
        <v>7.2099904833256012E-4</v>
      </c>
      <c r="D1229" s="127">
        <v>5842.8974609375</v>
      </c>
      <c r="E1229" s="56">
        <f t="shared" si="39"/>
        <v>1.3507671698919976E-2</v>
      </c>
    </row>
    <row r="1230" spans="1:5" x14ac:dyDescent="0.3">
      <c r="A1230" s="126">
        <v>46065</v>
      </c>
      <c r="B1230" s="127">
        <v>25807.19921875</v>
      </c>
      <c r="C1230" s="56">
        <f t="shared" si="38"/>
        <v>-5.6504292362096198E-3</v>
      </c>
      <c r="D1230" s="127">
        <v>5823.55322265625</v>
      </c>
      <c r="E1230" s="56">
        <f t="shared" si="39"/>
        <v>-3.310726982729939E-3</v>
      </c>
    </row>
    <row r="1231" spans="1:5" x14ac:dyDescent="0.3">
      <c r="A1231" s="126">
        <v>46066</v>
      </c>
      <c r="B1231" s="127">
        <v>25471.099609375</v>
      </c>
      <c r="C1231" s="56">
        <f t="shared" si="38"/>
        <v>-1.302348257655217E-2</v>
      </c>
      <c r="D1231" s="127">
        <v>5359.2958984375</v>
      </c>
      <c r="E1231" s="56">
        <f t="shared" si="39"/>
        <v>-7.972062870698593E-2</v>
      </c>
    </row>
    <row r="1232" spans="1:5" x14ac:dyDescent="0.3">
      <c r="A1232" s="126">
        <v>46069</v>
      </c>
      <c r="B1232" s="127">
        <v>25682.75</v>
      </c>
      <c r="C1232" s="56">
        <f t="shared" si="38"/>
        <v>8.3094328030934861E-3</v>
      </c>
      <c r="D1232" s="127">
        <v>5436.67236328125</v>
      </c>
      <c r="E1232" s="56">
        <f t="shared" si="39"/>
        <v>1.4437804202285021E-2</v>
      </c>
    </row>
    <row r="1233" spans="1:5" x14ac:dyDescent="0.3">
      <c r="A1233" s="126">
        <v>46070</v>
      </c>
      <c r="B1233" s="127">
        <v>25725.400390625</v>
      </c>
      <c r="C1233" s="56">
        <f t="shared" si="38"/>
        <v>1.6606629206374901E-3</v>
      </c>
      <c r="D1233" s="127">
        <v>5412.8642578125</v>
      </c>
      <c r="E1233" s="56">
        <f t="shared" si="39"/>
        <v>-4.3791687042882277E-3</v>
      </c>
    </row>
    <row r="1234" spans="1:5" x14ac:dyDescent="0.3">
      <c r="A1234" s="126">
        <v>46071</v>
      </c>
      <c r="B1234" s="127">
        <v>25819.349609375</v>
      </c>
      <c r="C1234" s="56">
        <f t="shared" si="38"/>
        <v>3.6520021971839789E-3</v>
      </c>
      <c r="D1234" s="127">
        <v>5420.30419921875</v>
      </c>
      <c r="E1234" s="56">
        <f t="shared" si="39"/>
        <v>1.3744925148477805E-3</v>
      </c>
    </row>
    <row r="1235" spans="1:5" x14ac:dyDescent="0.3">
      <c r="A1235" s="126">
        <v>46072</v>
      </c>
      <c r="B1235" s="127">
        <v>25454.349609375</v>
      </c>
      <c r="C1235" s="56">
        <f t="shared" si="38"/>
        <v>-1.4136684522350174E-2</v>
      </c>
      <c r="D1235" s="127">
        <v>5334</v>
      </c>
      <c r="E1235" s="56">
        <f t="shared" si="39"/>
        <v>-1.5922390339492276E-2</v>
      </c>
    </row>
    <row r="1236" spans="1:5" x14ac:dyDescent="0.3">
      <c r="A1236" s="126">
        <v>46073</v>
      </c>
      <c r="B1236" s="127">
        <v>25571.25</v>
      </c>
      <c r="C1236" s="56">
        <f t="shared" si="38"/>
        <v>4.592550680687868E-3</v>
      </c>
      <c r="D1236" s="127">
        <v>5392</v>
      </c>
      <c r="E1236" s="56">
        <f t="shared" si="39"/>
        <v>1.0873640794900608E-2</v>
      </c>
    </row>
    <row r="1237" spans="1:5" x14ac:dyDescent="0.3">
      <c r="A1237" s="126">
        <v>46076</v>
      </c>
      <c r="B1237" s="127">
        <v>25713</v>
      </c>
      <c r="C1237" s="56">
        <f t="shared" si="38"/>
        <v>5.5433347998239402E-3</v>
      </c>
      <c r="D1237" s="127">
        <v>5490.5</v>
      </c>
      <c r="E1237" s="56">
        <f t="shared" si="39"/>
        <v>1.8267804154302736E-2</v>
      </c>
    </row>
    <row r="1238" spans="1:5" x14ac:dyDescent="0.3">
      <c r="A1238" s="126">
        <v>46077</v>
      </c>
      <c r="B1238" s="127">
        <v>25424.650390625</v>
      </c>
      <c r="C1238" s="56">
        <f t="shared" si="38"/>
        <v>-1.1214156627970318E-2</v>
      </c>
      <c r="D1238" s="127">
        <v>5495.5</v>
      </c>
      <c r="E1238" s="56">
        <f t="shared" si="39"/>
        <v>9.1066387396421256E-4</v>
      </c>
    </row>
    <row r="1239" spans="1:5" x14ac:dyDescent="0.3">
      <c r="A1239" s="126">
        <v>46078</v>
      </c>
      <c r="B1239" s="127">
        <v>25482.5</v>
      </c>
      <c r="C1239" s="56">
        <f t="shared" si="38"/>
        <v>2.2753354908011669E-3</v>
      </c>
      <c r="D1239" s="127">
        <v>5625</v>
      </c>
      <c r="E1239" s="56">
        <f t="shared" si="39"/>
        <v>2.356473478300436E-2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1A5F4-D43B-4E38-B2DE-AE0BF6BD248C}">
  <dimension ref="A1:L2469"/>
  <sheetViews>
    <sheetView showGridLines="0" workbookViewId="0">
      <selection activeCell="E5" sqref="E5"/>
    </sheetView>
  </sheetViews>
  <sheetFormatPr defaultColWidth="11.77734375" defaultRowHeight="14.4" x14ac:dyDescent="0.3"/>
  <cols>
    <col min="1" max="3" width="11.77734375" style="1" customWidth="1"/>
    <col min="4" max="4" width="13.33203125" bestFit="1" customWidth="1"/>
    <col min="5" max="7" width="11.77734375" customWidth="1"/>
  </cols>
  <sheetData>
    <row r="1" spans="1:12" s="93" customFormat="1" ht="32.4" x14ac:dyDescent="0.6">
      <c r="A1" s="9" t="s">
        <v>9</v>
      </c>
      <c r="B1" s="6"/>
      <c r="C1" s="6"/>
      <c r="D1" s="7"/>
      <c r="E1" s="7"/>
      <c r="F1" s="7"/>
      <c r="G1" s="92"/>
      <c r="H1" s="92"/>
      <c r="I1" s="92"/>
      <c r="J1" s="92"/>
      <c r="K1" s="92"/>
      <c r="L1" s="92"/>
    </row>
    <row r="2" spans="1:12" s="93" customFormat="1" ht="23.4" x14ac:dyDescent="0.45">
      <c r="A2" s="38" t="s">
        <v>334</v>
      </c>
      <c r="B2" s="8"/>
      <c r="C2" s="6"/>
      <c r="D2" s="7"/>
      <c r="E2" s="7"/>
      <c r="F2" s="7"/>
      <c r="G2" s="92"/>
      <c r="H2" s="92"/>
      <c r="I2" s="92"/>
      <c r="J2" s="92"/>
      <c r="K2" s="92"/>
      <c r="L2" s="92"/>
    </row>
    <row r="4" spans="1:12" ht="20.399999999999999" customHeight="1" x14ac:dyDescent="0.3">
      <c r="A4" s="97"/>
      <c r="B4" s="101" t="s">
        <v>336</v>
      </c>
    </row>
    <row r="5" spans="1:12" x14ac:dyDescent="0.3">
      <c r="A5" s="98" t="s">
        <v>335</v>
      </c>
      <c r="B5" s="102" t="s">
        <v>291</v>
      </c>
      <c r="D5" s="94" t="s">
        <v>337</v>
      </c>
      <c r="E5" s="95">
        <v>10</v>
      </c>
    </row>
    <row r="6" spans="1:12" x14ac:dyDescent="0.3">
      <c r="A6" s="99">
        <v>42426</v>
      </c>
      <c r="B6" s="103">
        <v>7029.75</v>
      </c>
      <c r="D6" s="94" t="s">
        <v>339</v>
      </c>
      <c r="E6" s="95" t="s">
        <v>340</v>
      </c>
    </row>
    <row r="7" spans="1:12" x14ac:dyDescent="0.3">
      <c r="A7" s="99">
        <v>42429</v>
      </c>
      <c r="B7" s="103">
        <v>6987.0498046875</v>
      </c>
      <c r="D7" s="94" t="s">
        <v>338</v>
      </c>
      <c r="E7" s="96">
        <f>_xlfn.RRI(E5,B6,B2469)</f>
        <v>0.13744450049016899</v>
      </c>
    </row>
    <row r="8" spans="1:12" x14ac:dyDescent="0.3">
      <c r="A8" s="99">
        <v>42430</v>
      </c>
      <c r="B8" s="103">
        <v>7222.2998046875</v>
      </c>
    </row>
    <row r="9" spans="1:12" x14ac:dyDescent="0.3">
      <c r="A9" s="99">
        <v>42431</v>
      </c>
      <c r="B9" s="103">
        <v>7368.85009765625</v>
      </c>
    </row>
    <row r="10" spans="1:12" x14ac:dyDescent="0.3">
      <c r="A10" s="99">
        <v>42432</v>
      </c>
      <c r="B10" s="103">
        <v>7475.60009765625</v>
      </c>
    </row>
    <row r="11" spans="1:12" x14ac:dyDescent="0.3">
      <c r="A11" s="99">
        <v>42433</v>
      </c>
      <c r="B11" s="103">
        <v>7485.35009765625</v>
      </c>
    </row>
    <row r="12" spans="1:12" x14ac:dyDescent="0.3">
      <c r="A12" s="99">
        <v>42437</v>
      </c>
      <c r="B12" s="103">
        <v>7485.2998046875</v>
      </c>
    </row>
    <row r="13" spans="1:12" x14ac:dyDescent="0.3">
      <c r="A13" s="99">
        <v>42438</v>
      </c>
      <c r="B13" s="103">
        <v>7531.7998046875</v>
      </c>
    </row>
    <row r="14" spans="1:12" x14ac:dyDescent="0.3">
      <c r="A14" s="99">
        <v>42439</v>
      </c>
      <c r="B14" s="103">
        <v>7486.14990234375</v>
      </c>
    </row>
    <row r="15" spans="1:12" x14ac:dyDescent="0.3">
      <c r="A15" s="99">
        <v>42440</v>
      </c>
      <c r="B15" s="103">
        <v>7510.2001953125</v>
      </c>
    </row>
    <row r="16" spans="1:12" x14ac:dyDescent="0.3">
      <c r="A16" s="99">
        <v>42443</v>
      </c>
      <c r="B16" s="103">
        <v>7538.75</v>
      </c>
    </row>
    <row r="17" spans="1:2" x14ac:dyDescent="0.3">
      <c r="A17" s="99">
        <v>42444</v>
      </c>
      <c r="B17" s="103">
        <v>7460.60009765625</v>
      </c>
    </row>
    <row r="18" spans="1:2" x14ac:dyDescent="0.3">
      <c r="A18" s="99">
        <v>42445</v>
      </c>
      <c r="B18" s="103">
        <v>7498.75</v>
      </c>
    </row>
    <row r="19" spans="1:2" x14ac:dyDescent="0.3">
      <c r="A19" s="99">
        <v>42446</v>
      </c>
      <c r="B19" s="103">
        <v>7512.5498046875</v>
      </c>
    </row>
    <row r="20" spans="1:2" x14ac:dyDescent="0.3">
      <c r="A20" s="99">
        <v>42447</v>
      </c>
      <c r="B20" s="103">
        <v>7604.35009765625</v>
      </c>
    </row>
    <row r="21" spans="1:2" x14ac:dyDescent="0.3">
      <c r="A21" s="99">
        <v>42450</v>
      </c>
      <c r="B21" s="103">
        <v>7704.25</v>
      </c>
    </row>
    <row r="22" spans="1:2" x14ac:dyDescent="0.3">
      <c r="A22" s="99">
        <v>42451</v>
      </c>
      <c r="B22" s="103">
        <v>7714.89990234375</v>
      </c>
    </row>
    <row r="23" spans="1:2" x14ac:dyDescent="0.3">
      <c r="A23" s="99">
        <v>42452</v>
      </c>
      <c r="B23" s="103">
        <v>7716.5</v>
      </c>
    </row>
    <row r="24" spans="1:2" x14ac:dyDescent="0.3">
      <c r="A24" s="99">
        <v>42457</v>
      </c>
      <c r="B24" s="103">
        <v>7615.10009765625</v>
      </c>
    </row>
    <row r="25" spans="1:2" x14ac:dyDescent="0.3">
      <c r="A25" s="99">
        <v>42458</v>
      </c>
      <c r="B25" s="103">
        <v>7597</v>
      </c>
    </row>
    <row r="26" spans="1:2" x14ac:dyDescent="0.3">
      <c r="A26" s="99">
        <v>42459</v>
      </c>
      <c r="B26" s="103">
        <v>7735.2001953125</v>
      </c>
    </row>
    <row r="27" spans="1:2" x14ac:dyDescent="0.3">
      <c r="A27" s="99">
        <v>42460</v>
      </c>
      <c r="B27" s="103">
        <v>7738.39990234375</v>
      </c>
    </row>
    <row r="28" spans="1:2" x14ac:dyDescent="0.3">
      <c r="A28" s="99">
        <v>42461</v>
      </c>
      <c r="B28" s="103">
        <v>7713.0498046875</v>
      </c>
    </row>
    <row r="29" spans="1:2" x14ac:dyDescent="0.3">
      <c r="A29" s="99">
        <v>42464</v>
      </c>
      <c r="B29" s="103">
        <v>7758.7998046875</v>
      </c>
    </row>
    <row r="30" spans="1:2" x14ac:dyDescent="0.3">
      <c r="A30" s="99">
        <v>42465</v>
      </c>
      <c r="B30" s="103">
        <v>7603.2001953125</v>
      </c>
    </row>
    <row r="31" spans="1:2" x14ac:dyDescent="0.3">
      <c r="A31" s="99">
        <v>42466</v>
      </c>
      <c r="B31" s="103">
        <v>7614.35009765625</v>
      </c>
    </row>
    <row r="32" spans="1:2" x14ac:dyDescent="0.3">
      <c r="A32" s="99">
        <v>42467</v>
      </c>
      <c r="B32" s="103">
        <v>7546.4501953125</v>
      </c>
    </row>
    <row r="33" spans="1:2" x14ac:dyDescent="0.3">
      <c r="A33" s="99">
        <v>42468</v>
      </c>
      <c r="B33" s="103">
        <v>7555.2001953125</v>
      </c>
    </row>
    <row r="34" spans="1:2" x14ac:dyDescent="0.3">
      <c r="A34" s="99">
        <v>42471</v>
      </c>
      <c r="B34" s="103">
        <v>7671.39990234375</v>
      </c>
    </row>
    <row r="35" spans="1:2" x14ac:dyDescent="0.3">
      <c r="A35" s="99">
        <v>42472</v>
      </c>
      <c r="B35" s="103">
        <v>7708.9501953125</v>
      </c>
    </row>
    <row r="36" spans="1:2" x14ac:dyDescent="0.3">
      <c r="A36" s="99">
        <v>42473</v>
      </c>
      <c r="B36" s="103">
        <v>7850.4501953125</v>
      </c>
    </row>
    <row r="37" spans="1:2" x14ac:dyDescent="0.3">
      <c r="A37" s="99">
        <v>42478</v>
      </c>
      <c r="B37" s="103">
        <v>7914.7001953125</v>
      </c>
    </row>
    <row r="38" spans="1:2" x14ac:dyDescent="0.3">
      <c r="A38" s="99">
        <v>42480</v>
      </c>
      <c r="B38" s="103">
        <v>7914.75</v>
      </c>
    </row>
    <row r="39" spans="1:2" x14ac:dyDescent="0.3">
      <c r="A39" s="99">
        <v>42481</v>
      </c>
      <c r="B39" s="103">
        <v>7912.0498046875</v>
      </c>
    </row>
    <row r="40" spans="1:2" x14ac:dyDescent="0.3">
      <c r="A40" s="99">
        <v>42482</v>
      </c>
      <c r="B40" s="103">
        <v>7899.2998046875</v>
      </c>
    </row>
    <row r="41" spans="1:2" x14ac:dyDescent="0.3">
      <c r="A41" s="99">
        <v>42485</v>
      </c>
      <c r="B41" s="103">
        <v>7855.0498046875</v>
      </c>
    </row>
    <row r="42" spans="1:2" x14ac:dyDescent="0.3">
      <c r="A42" s="99">
        <v>42486</v>
      </c>
      <c r="B42" s="103">
        <v>7962.64990234375</v>
      </c>
    </row>
    <row r="43" spans="1:2" x14ac:dyDescent="0.3">
      <c r="A43" s="99">
        <v>42487</v>
      </c>
      <c r="B43" s="103">
        <v>7979.89990234375</v>
      </c>
    </row>
    <row r="44" spans="1:2" x14ac:dyDescent="0.3">
      <c r="A44" s="99">
        <v>42488</v>
      </c>
      <c r="B44" s="103">
        <v>7847.25</v>
      </c>
    </row>
    <row r="45" spans="1:2" x14ac:dyDescent="0.3">
      <c r="A45" s="99">
        <v>42489</v>
      </c>
      <c r="B45" s="103">
        <v>7849.7998046875</v>
      </c>
    </row>
    <row r="46" spans="1:2" x14ac:dyDescent="0.3">
      <c r="A46" s="99">
        <v>42492</v>
      </c>
      <c r="B46" s="103">
        <v>7805.89990234375</v>
      </c>
    </row>
    <row r="47" spans="1:2" x14ac:dyDescent="0.3">
      <c r="A47" s="99">
        <v>42493</v>
      </c>
      <c r="B47" s="103">
        <v>7747</v>
      </c>
    </row>
    <row r="48" spans="1:2" x14ac:dyDescent="0.3">
      <c r="A48" s="99">
        <v>42494</v>
      </c>
      <c r="B48" s="103">
        <v>7706.5498046875</v>
      </c>
    </row>
    <row r="49" spans="1:2" x14ac:dyDescent="0.3">
      <c r="A49" s="99">
        <v>42495</v>
      </c>
      <c r="B49" s="103">
        <v>7735.5</v>
      </c>
    </row>
    <row r="50" spans="1:2" x14ac:dyDescent="0.3">
      <c r="A50" s="99">
        <v>42496</v>
      </c>
      <c r="B50" s="103">
        <v>7733.4501953125</v>
      </c>
    </row>
    <row r="51" spans="1:2" x14ac:dyDescent="0.3">
      <c r="A51" s="99">
        <v>42499</v>
      </c>
      <c r="B51" s="103">
        <v>7866.0498046875</v>
      </c>
    </row>
    <row r="52" spans="1:2" x14ac:dyDescent="0.3">
      <c r="A52" s="99">
        <v>42500</v>
      </c>
      <c r="B52" s="103">
        <v>7887.7998046875</v>
      </c>
    </row>
    <row r="53" spans="1:2" x14ac:dyDescent="0.3">
      <c r="A53" s="99">
        <v>42501</v>
      </c>
      <c r="B53" s="103">
        <v>7848.85009765625</v>
      </c>
    </row>
    <row r="54" spans="1:2" x14ac:dyDescent="0.3">
      <c r="A54" s="99">
        <v>42502</v>
      </c>
      <c r="B54" s="103">
        <v>7900.39990234375</v>
      </c>
    </row>
    <row r="55" spans="1:2" x14ac:dyDescent="0.3">
      <c r="A55" s="99">
        <v>42503</v>
      </c>
      <c r="B55" s="103">
        <v>7814.89990234375</v>
      </c>
    </row>
    <row r="56" spans="1:2" x14ac:dyDescent="0.3">
      <c r="A56" s="99">
        <v>42506</v>
      </c>
      <c r="B56" s="103">
        <v>7860.75</v>
      </c>
    </row>
    <row r="57" spans="1:2" x14ac:dyDescent="0.3">
      <c r="A57" s="99">
        <v>42507</v>
      </c>
      <c r="B57" s="103">
        <v>7890.75</v>
      </c>
    </row>
    <row r="58" spans="1:2" x14ac:dyDescent="0.3">
      <c r="A58" s="99">
        <v>42508</v>
      </c>
      <c r="B58" s="103">
        <v>7870.14990234375</v>
      </c>
    </row>
    <row r="59" spans="1:2" x14ac:dyDescent="0.3">
      <c r="A59" s="99">
        <v>42509</v>
      </c>
      <c r="B59" s="103">
        <v>7783.39990234375</v>
      </c>
    </row>
    <row r="60" spans="1:2" x14ac:dyDescent="0.3">
      <c r="A60" s="99">
        <v>42510</v>
      </c>
      <c r="B60" s="103">
        <v>7749.7001953125</v>
      </c>
    </row>
    <row r="61" spans="1:2" x14ac:dyDescent="0.3">
      <c r="A61" s="99">
        <v>42513</v>
      </c>
      <c r="B61" s="103">
        <v>7731.0498046875</v>
      </c>
    </row>
    <row r="62" spans="1:2" x14ac:dyDescent="0.3">
      <c r="A62" s="99">
        <v>42514</v>
      </c>
      <c r="B62" s="103">
        <v>7748.85009765625</v>
      </c>
    </row>
    <row r="63" spans="1:2" x14ac:dyDescent="0.3">
      <c r="A63" s="99">
        <v>42515</v>
      </c>
      <c r="B63" s="103">
        <v>7934.89990234375</v>
      </c>
    </row>
    <row r="64" spans="1:2" x14ac:dyDescent="0.3">
      <c r="A64" s="99">
        <v>42516</v>
      </c>
      <c r="B64" s="103">
        <v>8069.64990234375</v>
      </c>
    </row>
    <row r="65" spans="1:2" x14ac:dyDescent="0.3">
      <c r="A65" s="99">
        <v>42517</v>
      </c>
      <c r="B65" s="103">
        <v>8156.64990234375</v>
      </c>
    </row>
    <row r="66" spans="1:2" x14ac:dyDescent="0.3">
      <c r="A66" s="99">
        <v>42520</v>
      </c>
      <c r="B66" s="103">
        <v>8178.5</v>
      </c>
    </row>
    <row r="67" spans="1:2" x14ac:dyDescent="0.3">
      <c r="A67" s="99">
        <v>42521</v>
      </c>
      <c r="B67" s="103">
        <v>8160.10009765625</v>
      </c>
    </row>
    <row r="68" spans="1:2" x14ac:dyDescent="0.3">
      <c r="A68" s="99">
        <v>42522</v>
      </c>
      <c r="B68" s="103">
        <v>8179.9501953125</v>
      </c>
    </row>
    <row r="69" spans="1:2" x14ac:dyDescent="0.3">
      <c r="A69" s="99">
        <v>42523</v>
      </c>
      <c r="B69" s="103">
        <v>8218.9501953125</v>
      </c>
    </row>
    <row r="70" spans="1:2" x14ac:dyDescent="0.3">
      <c r="A70" s="99">
        <v>42524</v>
      </c>
      <c r="B70" s="103">
        <v>8220.7998046875</v>
      </c>
    </row>
    <row r="71" spans="1:2" x14ac:dyDescent="0.3">
      <c r="A71" s="99">
        <v>42527</v>
      </c>
      <c r="B71" s="103">
        <v>8201.0498046875</v>
      </c>
    </row>
    <row r="72" spans="1:2" x14ac:dyDescent="0.3">
      <c r="A72" s="99">
        <v>42528</v>
      </c>
      <c r="B72" s="103">
        <v>8266.4501953125</v>
      </c>
    </row>
    <row r="73" spans="1:2" x14ac:dyDescent="0.3">
      <c r="A73" s="99">
        <v>42529</v>
      </c>
      <c r="B73" s="103">
        <v>8273.0498046875</v>
      </c>
    </row>
    <row r="74" spans="1:2" x14ac:dyDescent="0.3">
      <c r="A74" s="99">
        <v>42530</v>
      </c>
      <c r="B74" s="103">
        <v>8203.599609375</v>
      </c>
    </row>
    <row r="75" spans="1:2" x14ac:dyDescent="0.3">
      <c r="A75" s="99">
        <v>42531</v>
      </c>
      <c r="B75" s="103">
        <v>8170.0498046875</v>
      </c>
    </row>
    <row r="76" spans="1:2" x14ac:dyDescent="0.3">
      <c r="A76" s="99">
        <v>42534</v>
      </c>
      <c r="B76" s="103">
        <v>8110.60009765625</v>
      </c>
    </row>
    <row r="77" spans="1:2" x14ac:dyDescent="0.3">
      <c r="A77" s="99">
        <v>42535</v>
      </c>
      <c r="B77" s="103">
        <v>8108.85009765625</v>
      </c>
    </row>
    <row r="78" spans="1:2" x14ac:dyDescent="0.3">
      <c r="A78" s="99">
        <v>42536</v>
      </c>
      <c r="B78" s="103">
        <v>8206.599609375</v>
      </c>
    </row>
    <row r="79" spans="1:2" x14ac:dyDescent="0.3">
      <c r="A79" s="99">
        <v>42537</v>
      </c>
      <c r="B79" s="103">
        <v>8140.75</v>
      </c>
    </row>
    <row r="80" spans="1:2" x14ac:dyDescent="0.3">
      <c r="A80" s="99">
        <v>42538</v>
      </c>
      <c r="B80" s="103">
        <v>8170.2001953125</v>
      </c>
    </row>
    <row r="81" spans="1:2" x14ac:dyDescent="0.3">
      <c r="A81" s="99">
        <v>42541</v>
      </c>
      <c r="B81" s="103">
        <v>8238.5</v>
      </c>
    </row>
    <row r="82" spans="1:2" x14ac:dyDescent="0.3">
      <c r="A82" s="99">
        <v>42542</v>
      </c>
      <c r="B82" s="103">
        <v>8219.900390625</v>
      </c>
    </row>
    <row r="83" spans="1:2" x14ac:dyDescent="0.3">
      <c r="A83" s="99">
        <v>42543</v>
      </c>
      <c r="B83" s="103">
        <v>8203.7001953125</v>
      </c>
    </row>
    <row r="84" spans="1:2" x14ac:dyDescent="0.3">
      <c r="A84" s="99">
        <v>42544</v>
      </c>
      <c r="B84" s="103">
        <v>8270.4501953125</v>
      </c>
    </row>
    <row r="85" spans="1:2" x14ac:dyDescent="0.3">
      <c r="A85" s="99">
        <v>42545</v>
      </c>
      <c r="B85" s="103">
        <v>8088.60009765625</v>
      </c>
    </row>
    <row r="86" spans="1:2" x14ac:dyDescent="0.3">
      <c r="A86" s="99">
        <v>42548</v>
      </c>
      <c r="B86" s="103">
        <v>8094.7001953125</v>
      </c>
    </row>
    <row r="87" spans="1:2" x14ac:dyDescent="0.3">
      <c r="A87" s="99">
        <v>42549</v>
      </c>
      <c r="B87" s="103">
        <v>8127.85009765625</v>
      </c>
    </row>
    <row r="88" spans="1:2" x14ac:dyDescent="0.3">
      <c r="A88" s="99">
        <v>42550</v>
      </c>
      <c r="B88" s="103">
        <v>8204</v>
      </c>
    </row>
    <row r="89" spans="1:2" x14ac:dyDescent="0.3">
      <c r="A89" s="99">
        <v>42551</v>
      </c>
      <c r="B89" s="103">
        <v>8287.75</v>
      </c>
    </row>
    <row r="90" spans="1:2" x14ac:dyDescent="0.3">
      <c r="A90" s="99">
        <v>42552</v>
      </c>
      <c r="B90" s="103">
        <v>8328.349609375</v>
      </c>
    </row>
    <row r="91" spans="1:2" x14ac:dyDescent="0.3">
      <c r="A91" s="99">
        <v>42555</v>
      </c>
      <c r="B91" s="103">
        <v>8370.7001953125</v>
      </c>
    </row>
    <row r="92" spans="1:2" x14ac:dyDescent="0.3">
      <c r="A92" s="99">
        <v>42556</v>
      </c>
      <c r="B92" s="103">
        <v>8335.9501953125</v>
      </c>
    </row>
    <row r="93" spans="1:2" x14ac:dyDescent="0.3">
      <c r="A93" s="99">
        <v>42558</v>
      </c>
      <c r="B93" s="103">
        <v>8337.900390625</v>
      </c>
    </row>
    <row r="94" spans="1:2" x14ac:dyDescent="0.3">
      <c r="A94" s="99">
        <v>42559</v>
      </c>
      <c r="B94" s="103">
        <v>8323.2001953125</v>
      </c>
    </row>
    <row r="95" spans="1:2" x14ac:dyDescent="0.3">
      <c r="A95" s="99">
        <v>42562</v>
      </c>
      <c r="B95" s="103">
        <v>8467.900390625</v>
      </c>
    </row>
    <row r="96" spans="1:2" x14ac:dyDescent="0.3">
      <c r="A96" s="99">
        <v>42563</v>
      </c>
      <c r="B96" s="103">
        <v>8521.0498046875</v>
      </c>
    </row>
    <row r="97" spans="1:2" x14ac:dyDescent="0.3">
      <c r="A97" s="99">
        <v>42564</v>
      </c>
      <c r="B97" s="103">
        <v>8519.5</v>
      </c>
    </row>
    <row r="98" spans="1:2" x14ac:dyDescent="0.3">
      <c r="A98" s="99">
        <v>42565</v>
      </c>
      <c r="B98" s="103">
        <v>8565</v>
      </c>
    </row>
    <row r="99" spans="1:2" x14ac:dyDescent="0.3">
      <c r="A99" s="99">
        <v>42566</v>
      </c>
      <c r="B99" s="103">
        <v>8541.400390625</v>
      </c>
    </row>
    <row r="100" spans="1:2" x14ac:dyDescent="0.3">
      <c r="A100" s="99">
        <v>42569</v>
      </c>
      <c r="B100" s="103">
        <v>8508.7001953125</v>
      </c>
    </row>
    <row r="101" spans="1:2" x14ac:dyDescent="0.3">
      <c r="A101" s="99">
        <v>42570</v>
      </c>
      <c r="B101" s="103">
        <v>8528.5498046875</v>
      </c>
    </row>
    <row r="102" spans="1:2" x14ac:dyDescent="0.3">
      <c r="A102" s="99">
        <v>42571</v>
      </c>
      <c r="B102" s="103">
        <v>8565.849609375</v>
      </c>
    </row>
    <row r="103" spans="1:2" x14ac:dyDescent="0.3">
      <c r="A103" s="99">
        <v>42572</v>
      </c>
      <c r="B103" s="103">
        <v>8510.099609375</v>
      </c>
    </row>
    <row r="104" spans="1:2" x14ac:dyDescent="0.3">
      <c r="A104" s="99">
        <v>42573</v>
      </c>
      <c r="B104" s="103">
        <v>8541.2001953125</v>
      </c>
    </row>
    <row r="105" spans="1:2" x14ac:dyDescent="0.3">
      <c r="A105" s="99">
        <v>42576</v>
      </c>
      <c r="B105" s="103">
        <v>8635.650390625</v>
      </c>
    </row>
    <row r="106" spans="1:2" x14ac:dyDescent="0.3">
      <c r="A106" s="99">
        <v>42577</v>
      </c>
      <c r="B106" s="103">
        <v>8590.650390625</v>
      </c>
    </row>
    <row r="107" spans="1:2" x14ac:dyDescent="0.3">
      <c r="A107" s="99">
        <v>42578</v>
      </c>
      <c r="B107" s="103">
        <v>8615.7998046875</v>
      </c>
    </row>
    <row r="108" spans="1:2" x14ac:dyDescent="0.3">
      <c r="A108" s="99">
        <v>42579</v>
      </c>
      <c r="B108" s="103">
        <v>8666.2998046875</v>
      </c>
    </row>
    <row r="109" spans="1:2" x14ac:dyDescent="0.3">
      <c r="A109" s="99">
        <v>42580</v>
      </c>
      <c r="B109" s="103">
        <v>8638.5</v>
      </c>
    </row>
    <row r="110" spans="1:2" x14ac:dyDescent="0.3">
      <c r="A110" s="99">
        <v>42583</v>
      </c>
      <c r="B110" s="103">
        <v>8636.5498046875</v>
      </c>
    </row>
    <row r="111" spans="1:2" x14ac:dyDescent="0.3">
      <c r="A111" s="99">
        <v>42584</v>
      </c>
      <c r="B111" s="103">
        <v>8622.900390625</v>
      </c>
    </row>
    <row r="112" spans="1:2" x14ac:dyDescent="0.3">
      <c r="A112" s="99">
        <v>42585</v>
      </c>
      <c r="B112" s="103">
        <v>8544.849609375</v>
      </c>
    </row>
    <row r="113" spans="1:2" x14ac:dyDescent="0.3">
      <c r="A113" s="99">
        <v>42586</v>
      </c>
      <c r="B113" s="103">
        <v>8551.099609375</v>
      </c>
    </row>
    <row r="114" spans="1:2" x14ac:dyDescent="0.3">
      <c r="A114" s="99">
        <v>42587</v>
      </c>
      <c r="B114" s="103">
        <v>8683.150390625</v>
      </c>
    </row>
    <row r="115" spans="1:2" x14ac:dyDescent="0.3">
      <c r="A115" s="99">
        <v>42590</v>
      </c>
      <c r="B115" s="103">
        <v>8711.349609375</v>
      </c>
    </row>
    <row r="116" spans="1:2" x14ac:dyDescent="0.3">
      <c r="A116" s="99">
        <v>42591</v>
      </c>
      <c r="B116" s="103">
        <v>8678.25</v>
      </c>
    </row>
    <row r="117" spans="1:2" x14ac:dyDescent="0.3">
      <c r="A117" s="99">
        <v>42592</v>
      </c>
      <c r="B117" s="103">
        <v>8575.2998046875</v>
      </c>
    </row>
    <row r="118" spans="1:2" x14ac:dyDescent="0.3">
      <c r="A118" s="99">
        <v>42593</v>
      </c>
      <c r="B118" s="103">
        <v>8592.150390625</v>
      </c>
    </row>
    <row r="119" spans="1:2" x14ac:dyDescent="0.3">
      <c r="A119" s="99">
        <v>42598</v>
      </c>
      <c r="B119" s="103">
        <v>8642.5498046875</v>
      </c>
    </row>
    <row r="120" spans="1:2" x14ac:dyDescent="0.3">
      <c r="A120" s="99">
        <v>42599</v>
      </c>
      <c r="B120" s="103">
        <v>8624.0498046875</v>
      </c>
    </row>
    <row r="121" spans="1:2" x14ac:dyDescent="0.3">
      <c r="A121" s="99">
        <v>42600</v>
      </c>
      <c r="B121" s="103">
        <v>8673.25</v>
      </c>
    </row>
    <row r="122" spans="1:2" x14ac:dyDescent="0.3">
      <c r="A122" s="99">
        <v>42601</v>
      </c>
      <c r="B122" s="103">
        <v>8666.900390625</v>
      </c>
    </row>
    <row r="123" spans="1:2" x14ac:dyDescent="0.3">
      <c r="A123" s="99">
        <v>42604</v>
      </c>
      <c r="B123" s="103">
        <v>8629.150390625</v>
      </c>
    </row>
    <row r="124" spans="1:2" x14ac:dyDescent="0.3">
      <c r="A124" s="99">
        <v>42605</v>
      </c>
      <c r="B124" s="103">
        <v>8632.599609375</v>
      </c>
    </row>
    <row r="125" spans="1:2" x14ac:dyDescent="0.3">
      <c r="A125" s="99">
        <v>42606</v>
      </c>
      <c r="B125" s="103">
        <v>8650.2998046875</v>
      </c>
    </row>
    <row r="126" spans="1:2" x14ac:dyDescent="0.3">
      <c r="A126" s="99">
        <v>42607</v>
      </c>
      <c r="B126" s="103">
        <v>8592.2001953125</v>
      </c>
    </row>
    <row r="127" spans="1:2" x14ac:dyDescent="0.3">
      <c r="A127" s="99">
        <v>42608</v>
      </c>
      <c r="B127" s="103">
        <v>8572.5498046875</v>
      </c>
    </row>
    <row r="128" spans="1:2" x14ac:dyDescent="0.3">
      <c r="A128" s="99">
        <v>42611</v>
      </c>
      <c r="B128" s="103">
        <v>8607.4501953125</v>
      </c>
    </row>
    <row r="129" spans="1:2" x14ac:dyDescent="0.3">
      <c r="A129" s="99">
        <v>42612</v>
      </c>
      <c r="B129" s="103">
        <v>8744.349609375</v>
      </c>
    </row>
    <row r="130" spans="1:2" x14ac:dyDescent="0.3">
      <c r="A130" s="99">
        <v>42613</v>
      </c>
      <c r="B130" s="103">
        <v>8786.2001953125</v>
      </c>
    </row>
    <row r="131" spans="1:2" x14ac:dyDescent="0.3">
      <c r="A131" s="99">
        <v>42614</v>
      </c>
      <c r="B131" s="103">
        <v>8774.650390625</v>
      </c>
    </row>
    <row r="132" spans="1:2" x14ac:dyDescent="0.3">
      <c r="A132" s="99">
        <v>42615</v>
      </c>
      <c r="B132" s="103">
        <v>8809.650390625</v>
      </c>
    </row>
    <row r="133" spans="1:2" x14ac:dyDescent="0.3">
      <c r="A133" s="99">
        <v>42619</v>
      </c>
      <c r="B133" s="103">
        <v>8943</v>
      </c>
    </row>
    <row r="134" spans="1:2" x14ac:dyDescent="0.3">
      <c r="A134" s="99">
        <v>42620</v>
      </c>
      <c r="B134" s="103">
        <v>8917.9501953125</v>
      </c>
    </row>
    <row r="135" spans="1:2" x14ac:dyDescent="0.3">
      <c r="A135" s="99">
        <v>42621</v>
      </c>
      <c r="B135" s="103">
        <v>8952.5</v>
      </c>
    </row>
    <row r="136" spans="1:2" x14ac:dyDescent="0.3">
      <c r="A136" s="99">
        <v>42622</v>
      </c>
      <c r="B136" s="103">
        <v>8866.7001953125</v>
      </c>
    </row>
    <row r="137" spans="1:2" x14ac:dyDescent="0.3">
      <c r="A137" s="99">
        <v>42625</v>
      </c>
      <c r="B137" s="103">
        <v>8715.599609375</v>
      </c>
    </row>
    <row r="138" spans="1:2" x14ac:dyDescent="0.3">
      <c r="A138" s="99">
        <v>42627</v>
      </c>
      <c r="B138" s="103">
        <v>8726.599609375</v>
      </c>
    </row>
    <row r="139" spans="1:2" x14ac:dyDescent="0.3">
      <c r="A139" s="99">
        <v>42628</v>
      </c>
      <c r="B139" s="103">
        <v>8742.5498046875</v>
      </c>
    </row>
    <row r="140" spans="1:2" x14ac:dyDescent="0.3">
      <c r="A140" s="99">
        <v>42629</v>
      </c>
      <c r="B140" s="103">
        <v>8779.849609375</v>
      </c>
    </row>
    <row r="141" spans="1:2" x14ac:dyDescent="0.3">
      <c r="A141" s="99">
        <v>42632</v>
      </c>
      <c r="B141" s="103">
        <v>8808.400390625</v>
      </c>
    </row>
    <row r="142" spans="1:2" x14ac:dyDescent="0.3">
      <c r="A142" s="99">
        <v>42633</v>
      </c>
      <c r="B142" s="103">
        <v>8775.900390625</v>
      </c>
    </row>
    <row r="143" spans="1:2" x14ac:dyDescent="0.3">
      <c r="A143" s="99">
        <v>42634</v>
      </c>
      <c r="B143" s="103">
        <v>8777.150390625</v>
      </c>
    </row>
    <row r="144" spans="1:2" x14ac:dyDescent="0.3">
      <c r="A144" s="99">
        <v>42635</v>
      </c>
      <c r="B144" s="103">
        <v>8867.4501953125</v>
      </c>
    </row>
    <row r="145" spans="1:2" x14ac:dyDescent="0.3">
      <c r="A145" s="99">
        <v>42636</v>
      </c>
      <c r="B145" s="103">
        <v>8831.5498046875</v>
      </c>
    </row>
    <row r="146" spans="1:2" x14ac:dyDescent="0.3">
      <c r="A146" s="99">
        <v>42639</v>
      </c>
      <c r="B146" s="103">
        <v>8723.0498046875</v>
      </c>
    </row>
    <row r="147" spans="1:2" x14ac:dyDescent="0.3">
      <c r="A147" s="99">
        <v>42640</v>
      </c>
      <c r="B147" s="103">
        <v>8706.400390625</v>
      </c>
    </row>
    <row r="148" spans="1:2" x14ac:dyDescent="0.3">
      <c r="A148" s="99">
        <v>42641</v>
      </c>
      <c r="B148" s="103">
        <v>8745.150390625</v>
      </c>
    </row>
    <row r="149" spans="1:2" x14ac:dyDescent="0.3">
      <c r="A149" s="99">
        <v>42642</v>
      </c>
      <c r="B149" s="103">
        <v>8591.25</v>
      </c>
    </row>
    <row r="150" spans="1:2" x14ac:dyDescent="0.3">
      <c r="A150" s="99">
        <v>42643</v>
      </c>
      <c r="B150" s="103">
        <v>8611.150390625</v>
      </c>
    </row>
    <row r="151" spans="1:2" x14ac:dyDescent="0.3">
      <c r="A151" s="99">
        <v>42646</v>
      </c>
      <c r="B151" s="103">
        <v>8738.099609375</v>
      </c>
    </row>
    <row r="152" spans="1:2" x14ac:dyDescent="0.3">
      <c r="A152" s="99">
        <v>42647</v>
      </c>
      <c r="B152" s="103">
        <v>8769.150390625</v>
      </c>
    </row>
    <row r="153" spans="1:2" x14ac:dyDescent="0.3">
      <c r="A153" s="99">
        <v>42648</v>
      </c>
      <c r="B153" s="103">
        <v>8743.9501953125</v>
      </c>
    </row>
    <row r="154" spans="1:2" x14ac:dyDescent="0.3">
      <c r="A154" s="99">
        <v>42649</v>
      </c>
      <c r="B154" s="103">
        <v>8709.5498046875</v>
      </c>
    </row>
    <row r="155" spans="1:2" x14ac:dyDescent="0.3">
      <c r="A155" s="99">
        <v>42650</v>
      </c>
      <c r="B155" s="103">
        <v>8697.599609375</v>
      </c>
    </row>
    <row r="156" spans="1:2" x14ac:dyDescent="0.3">
      <c r="A156" s="99">
        <v>42653</v>
      </c>
      <c r="B156" s="103">
        <v>8708.7998046875</v>
      </c>
    </row>
    <row r="157" spans="1:2" x14ac:dyDescent="0.3">
      <c r="A157" s="99">
        <v>42656</v>
      </c>
      <c r="B157" s="103">
        <v>8573.349609375</v>
      </c>
    </row>
    <row r="158" spans="1:2" x14ac:dyDescent="0.3">
      <c r="A158" s="99">
        <v>42657</v>
      </c>
      <c r="B158" s="103">
        <v>8583.400390625</v>
      </c>
    </row>
    <row r="159" spans="1:2" x14ac:dyDescent="0.3">
      <c r="A159" s="99">
        <v>42660</v>
      </c>
      <c r="B159" s="103">
        <v>8520.400390625</v>
      </c>
    </row>
    <row r="160" spans="1:2" x14ac:dyDescent="0.3">
      <c r="A160" s="99">
        <v>42661</v>
      </c>
      <c r="B160" s="103">
        <v>8677.900390625</v>
      </c>
    </row>
    <row r="161" spans="1:2" x14ac:dyDescent="0.3">
      <c r="A161" s="99">
        <v>42662</v>
      </c>
      <c r="B161" s="103">
        <v>8659.099609375</v>
      </c>
    </row>
    <row r="162" spans="1:2" x14ac:dyDescent="0.3">
      <c r="A162" s="99">
        <v>42663</v>
      </c>
      <c r="B162" s="103">
        <v>8699.400390625</v>
      </c>
    </row>
    <row r="163" spans="1:2" x14ac:dyDescent="0.3">
      <c r="A163" s="99">
        <v>42664</v>
      </c>
      <c r="B163" s="103">
        <v>8693.0498046875</v>
      </c>
    </row>
    <row r="164" spans="1:2" x14ac:dyDescent="0.3">
      <c r="A164" s="99">
        <v>42667</v>
      </c>
      <c r="B164" s="103">
        <v>8708.9501953125</v>
      </c>
    </row>
    <row r="165" spans="1:2" x14ac:dyDescent="0.3">
      <c r="A165" s="99">
        <v>42668</v>
      </c>
      <c r="B165" s="103">
        <v>8691.2998046875</v>
      </c>
    </row>
    <row r="166" spans="1:2" x14ac:dyDescent="0.3">
      <c r="A166" s="99">
        <v>42669</v>
      </c>
      <c r="B166" s="103">
        <v>8615.25</v>
      </c>
    </row>
    <row r="167" spans="1:2" x14ac:dyDescent="0.3">
      <c r="A167" s="99">
        <v>42670</v>
      </c>
      <c r="B167" s="103">
        <v>8615.25</v>
      </c>
    </row>
    <row r="168" spans="1:2" x14ac:dyDescent="0.3">
      <c r="A168" s="99">
        <v>42671</v>
      </c>
      <c r="B168" s="103">
        <v>8638</v>
      </c>
    </row>
    <row r="169" spans="1:2" x14ac:dyDescent="0.3">
      <c r="A169" s="99">
        <v>42675</v>
      </c>
      <c r="B169" s="103">
        <v>8626.25</v>
      </c>
    </row>
    <row r="170" spans="1:2" x14ac:dyDescent="0.3">
      <c r="A170" s="99">
        <v>42676</v>
      </c>
      <c r="B170" s="103">
        <v>8514</v>
      </c>
    </row>
    <row r="171" spans="1:2" x14ac:dyDescent="0.3">
      <c r="A171" s="99">
        <v>42677</v>
      </c>
      <c r="B171" s="103">
        <v>8484.9501953125</v>
      </c>
    </row>
    <row r="172" spans="1:2" x14ac:dyDescent="0.3">
      <c r="A172" s="99">
        <v>42678</v>
      </c>
      <c r="B172" s="103">
        <v>8433.75</v>
      </c>
    </row>
    <row r="173" spans="1:2" x14ac:dyDescent="0.3">
      <c r="A173" s="99">
        <v>42681</v>
      </c>
      <c r="B173" s="103">
        <v>8497.0498046875</v>
      </c>
    </row>
    <row r="174" spans="1:2" x14ac:dyDescent="0.3">
      <c r="A174" s="99">
        <v>42682</v>
      </c>
      <c r="B174" s="103">
        <v>8543.5498046875</v>
      </c>
    </row>
    <row r="175" spans="1:2" x14ac:dyDescent="0.3">
      <c r="A175" s="99">
        <v>42683</v>
      </c>
      <c r="B175" s="103">
        <v>8432</v>
      </c>
    </row>
    <row r="176" spans="1:2" x14ac:dyDescent="0.3">
      <c r="A176" s="99">
        <v>42684</v>
      </c>
      <c r="B176" s="103">
        <v>8525.75</v>
      </c>
    </row>
    <row r="177" spans="1:2" x14ac:dyDescent="0.3">
      <c r="A177" s="99">
        <v>42685</v>
      </c>
      <c r="B177" s="103">
        <v>8296.2998046875</v>
      </c>
    </row>
    <row r="178" spans="1:2" x14ac:dyDescent="0.3">
      <c r="A178" s="99">
        <v>42689</v>
      </c>
      <c r="B178" s="103">
        <v>8108.4501953125</v>
      </c>
    </row>
    <row r="179" spans="1:2" x14ac:dyDescent="0.3">
      <c r="A179" s="99">
        <v>42690</v>
      </c>
      <c r="B179" s="103">
        <v>8111.60009765625</v>
      </c>
    </row>
    <row r="180" spans="1:2" x14ac:dyDescent="0.3">
      <c r="A180" s="99">
        <v>42691</v>
      </c>
      <c r="B180" s="103">
        <v>8079.9501953125</v>
      </c>
    </row>
    <row r="181" spans="1:2" x14ac:dyDescent="0.3">
      <c r="A181" s="99">
        <v>42692</v>
      </c>
      <c r="B181" s="103">
        <v>8074.10009765625</v>
      </c>
    </row>
    <row r="182" spans="1:2" x14ac:dyDescent="0.3">
      <c r="A182" s="99">
        <v>42695</v>
      </c>
      <c r="B182" s="103">
        <v>7929.10009765625</v>
      </c>
    </row>
    <row r="183" spans="1:2" x14ac:dyDescent="0.3">
      <c r="A183" s="99">
        <v>42696</v>
      </c>
      <c r="B183" s="103">
        <v>8002.2998046875</v>
      </c>
    </row>
    <row r="184" spans="1:2" x14ac:dyDescent="0.3">
      <c r="A184" s="99">
        <v>42697</v>
      </c>
      <c r="B184" s="103">
        <v>8033.2998046875</v>
      </c>
    </row>
    <row r="185" spans="1:2" x14ac:dyDescent="0.3">
      <c r="A185" s="99">
        <v>42698</v>
      </c>
      <c r="B185" s="103">
        <v>7965.5</v>
      </c>
    </row>
    <row r="186" spans="1:2" x14ac:dyDescent="0.3">
      <c r="A186" s="99">
        <v>42699</v>
      </c>
      <c r="B186" s="103">
        <v>8114.2998046875</v>
      </c>
    </row>
    <row r="187" spans="1:2" x14ac:dyDescent="0.3">
      <c r="A187" s="99">
        <v>42702</v>
      </c>
      <c r="B187" s="103">
        <v>8126.89990234375</v>
      </c>
    </row>
    <row r="188" spans="1:2" x14ac:dyDescent="0.3">
      <c r="A188" s="99">
        <v>42703</v>
      </c>
      <c r="B188" s="103">
        <v>8142.14990234375</v>
      </c>
    </row>
    <row r="189" spans="1:2" x14ac:dyDescent="0.3">
      <c r="A189" s="99">
        <v>42704</v>
      </c>
      <c r="B189" s="103">
        <v>8224.5</v>
      </c>
    </row>
    <row r="190" spans="1:2" x14ac:dyDescent="0.3">
      <c r="A190" s="99">
        <v>42705</v>
      </c>
      <c r="B190" s="103">
        <v>8192.900390625</v>
      </c>
    </row>
    <row r="191" spans="1:2" x14ac:dyDescent="0.3">
      <c r="A191" s="99">
        <v>42706</v>
      </c>
      <c r="B191" s="103">
        <v>8086.7998046875</v>
      </c>
    </row>
    <row r="192" spans="1:2" x14ac:dyDescent="0.3">
      <c r="A192" s="99">
        <v>42709</v>
      </c>
      <c r="B192" s="103">
        <v>8128.75</v>
      </c>
    </row>
    <row r="193" spans="1:2" x14ac:dyDescent="0.3">
      <c r="A193" s="99">
        <v>42710</v>
      </c>
      <c r="B193" s="103">
        <v>8143.14990234375</v>
      </c>
    </row>
    <row r="194" spans="1:2" x14ac:dyDescent="0.3">
      <c r="A194" s="99">
        <v>42711</v>
      </c>
      <c r="B194" s="103">
        <v>8102.0498046875</v>
      </c>
    </row>
    <row r="195" spans="1:2" x14ac:dyDescent="0.3">
      <c r="A195" s="99">
        <v>42712</v>
      </c>
      <c r="B195" s="103">
        <v>8246.849609375</v>
      </c>
    </row>
    <row r="196" spans="1:2" x14ac:dyDescent="0.3">
      <c r="A196" s="99">
        <v>42713</v>
      </c>
      <c r="B196" s="103">
        <v>8261.75</v>
      </c>
    </row>
    <row r="197" spans="1:2" x14ac:dyDescent="0.3">
      <c r="A197" s="99">
        <v>42716</v>
      </c>
      <c r="B197" s="103">
        <v>8170.7998046875</v>
      </c>
    </row>
    <row r="198" spans="1:2" x14ac:dyDescent="0.3">
      <c r="A198" s="99">
        <v>42717</v>
      </c>
      <c r="B198" s="103">
        <v>8221.7998046875</v>
      </c>
    </row>
    <row r="199" spans="1:2" x14ac:dyDescent="0.3">
      <c r="A199" s="99">
        <v>42718</v>
      </c>
      <c r="B199" s="103">
        <v>8182.4501953125</v>
      </c>
    </row>
    <row r="200" spans="1:2" x14ac:dyDescent="0.3">
      <c r="A200" s="99">
        <v>42719</v>
      </c>
      <c r="B200" s="103">
        <v>8153.60009765625</v>
      </c>
    </row>
    <row r="201" spans="1:2" x14ac:dyDescent="0.3">
      <c r="A201" s="99">
        <v>42720</v>
      </c>
      <c r="B201" s="103">
        <v>8139.4501953125</v>
      </c>
    </row>
    <row r="202" spans="1:2" x14ac:dyDescent="0.3">
      <c r="A202" s="99">
        <v>42723</v>
      </c>
      <c r="B202" s="103">
        <v>8104.35009765625</v>
      </c>
    </row>
    <row r="203" spans="1:2" x14ac:dyDescent="0.3">
      <c r="A203" s="99">
        <v>42724</v>
      </c>
      <c r="B203" s="103">
        <v>8082.39990234375</v>
      </c>
    </row>
    <row r="204" spans="1:2" x14ac:dyDescent="0.3">
      <c r="A204" s="99">
        <v>42725</v>
      </c>
      <c r="B204" s="103">
        <v>8061.2998046875</v>
      </c>
    </row>
    <row r="205" spans="1:2" x14ac:dyDescent="0.3">
      <c r="A205" s="99">
        <v>42726</v>
      </c>
      <c r="B205" s="103">
        <v>7979.10009765625</v>
      </c>
    </row>
    <row r="206" spans="1:2" x14ac:dyDescent="0.3">
      <c r="A206" s="99">
        <v>42727</v>
      </c>
      <c r="B206" s="103">
        <v>7985.75</v>
      </c>
    </row>
    <row r="207" spans="1:2" x14ac:dyDescent="0.3">
      <c r="A207" s="99">
        <v>42730</v>
      </c>
      <c r="B207" s="103">
        <v>7908.25</v>
      </c>
    </row>
    <row r="208" spans="1:2" x14ac:dyDescent="0.3">
      <c r="A208" s="99">
        <v>42731</v>
      </c>
      <c r="B208" s="103">
        <v>8032.85009765625</v>
      </c>
    </row>
    <row r="209" spans="1:2" x14ac:dyDescent="0.3">
      <c r="A209" s="99">
        <v>42732</v>
      </c>
      <c r="B209" s="103">
        <v>8034.85009765625</v>
      </c>
    </row>
    <row r="210" spans="1:2" x14ac:dyDescent="0.3">
      <c r="A210" s="99">
        <v>42733</v>
      </c>
      <c r="B210" s="103">
        <v>8103.60009765625</v>
      </c>
    </row>
    <row r="211" spans="1:2" x14ac:dyDescent="0.3">
      <c r="A211" s="99">
        <v>42734</v>
      </c>
      <c r="B211" s="103">
        <v>8185.7998046875</v>
      </c>
    </row>
    <row r="212" spans="1:2" x14ac:dyDescent="0.3">
      <c r="A212" s="99">
        <v>42737</v>
      </c>
      <c r="B212" s="103">
        <v>8179.5</v>
      </c>
    </row>
    <row r="213" spans="1:2" x14ac:dyDescent="0.3">
      <c r="A213" s="99">
        <v>42738</v>
      </c>
      <c r="B213" s="103">
        <v>8192.25</v>
      </c>
    </row>
    <row r="214" spans="1:2" x14ac:dyDescent="0.3">
      <c r="A214" s="99">
        <v>42739</v>
      </c>
      <c r="B214" s="103">
        <v>8190.5</v>
      </c>
    </row>
    <row r="215" spans="1:2" x14ac:dyDescent="0.3">
      <c r="A215" s="99">
        <v>42740</v>
      </c>
      <c r="B215" s="103">
        <v>8273.7998046875</v>
      </c>
    </row>
    <row r="216" spans="1:2" x14ac:dyDescent="0.3">
      <c r="A216" s="99">
        <v>42741</v>
      </c>
      <c r="B216" s="103">
        <v>8243.7998046875</v>
      </c>
    </row>
    <row r="217" spans="1:2" x14ac:dyDescent="0.3">
      <c r="A217" s="99">
        <v>42744</v>
      </c>
      <c r="B217" s="103">
        <v>8236.0498046875</v>
      </c>
    </row>
    <row r="218" spans="1:2" x14ac:dyDescent="0.3">
      <c r="A218" s="99">
        <v>42745</v>
      </c>
      <c r="B218" s="103">
        <v>8288.599609375</v>
      </c>
    </row>
    <row r="219" spans="1:2" x14ac:dyDescent="0.3">
      <c r="A219" s="99">
        <v>42746</v>
      </c>
      <c r="B219" s="103">
        <v>8380.650390625</v>
      </c>
    </row>
    <row r="220" spans="1:2" x14ac:dyDescent="0.3">
      <c r="A220" s="99">
        <v>42747</v>
      </c>
      <c r="B220" s="103">
        <v>8407.2001953125</v>
      </c>
    </row>
    <row r="221" spans="1:2" x14ac:dyDescent="0.3">
      <c r="A221" s="99">
        <v>42748</v>
      </c>
      <c r="B221" s="103">
        <v>8400.349609375</v>
      </c>
    </row>
    <row r="222" spans="1:2" x14ac:dyDescent="0.3">
      <c r="A222" s="99">
        <v>42751</v>
      </c>
      <c r="B222" s="103">
        <v>8412.7998046875</v>
      </c>
    </row>
    <row r="223" spans="1:2" x14ac:dyDescent="0.3">
      <c r="A223" s="99">
        <v>42752</v>
      </c>
      <c r="B223" s="103">
        <v>8398</v>
      </c>
    </row>
    <row r="224" spans="1:2" x14ac:dyDescent="0.3">
      <c r="A224" s="99">
        <v>42753</v>
      </c>
      <c r="B224" s="103">
        <v>8417</v>
      </c>
    </row>
    <row r="225" spans="1:2" x14ac:dyDescent="0.3">
      <c r="A225" s="99">
        <v>42754</v>
      </c>
      <c r="B225" s="103">
        <v>8435.099609375</v>
      </c>
    </row>
    <row r="226" spans="1:2" x14ac:dyDescent="0.3">
      <c r="A226" s="99">
        <v>42755</v>
      </c>
      <c r="B226" s="103">
        <v>8349.349609375</v>
      </c>
    </row>
    <row r="227" spans="1:2" x14ac:dyDescent="0.3">
      <c r="A227" s="99">
        <v>42758</v>
      </c>
      <c r="B227" s="103">
        <v>8391.5</v>
      </c>
    </row>
    <row r="228" spans="1:2" x14ac:dyDescent="0.3">
      <c r="A228" s="99">
        <v>42759</v>
      </c>
      <c r="B228" s="103">
        <v>8475.7998046875</v>
      </c>
    </row>
    <row r="229" spans="1:2" x14ac:dyDescent="0.3">
      <c r="A229" s="99">
        <v>42760</v>
      </c>
      <c r="B229" s="103">
        <v>8602.75</v>
      </c>
    </row>
    <row r="230" spans="1:2" x14ac:dyDescent="0.3">
      <c r="A230" s="99">
        <v>42762</v>
      </c>
      <c r="B230" s="103">
        <v>8641.25</v>
      </c>
    </row>
    <row r="231" spans="1:2" x14ac:dyDescent="0.3">
      <c r="A231" s="99">
        <v>42765</v>
      </c>
      <c r="B231" s="103">
        <v>8632.75</v>
      </c>
    </row>
    <row r="232" spans="1:2" x14ac:dyDescent="0.3">
      <c r="A232" s="99">
        <v>42766</v>
      </c>
      <c r="B232" s="103">
        <v>8561.2998046875</v>
      </c>
    </row>
    <row r="233" spans="1:2" x14ac:dyDescent="0.3">
      <c r="A233" s="99">
        <v>42767</v>
      </c>
      <c r="B233" s="103">
        <v>8716.400390625</v>
      </c>
    </row>
    <row r="234" spans="1:2" x14ac:dyDescent="0.3">
      <c r="A234" s="99">
        <v>42768</v>
      </c>
      <c r="B234" s="103">
        <v>8734.25</v>
      </c>
    </row>
    <row r="235" spans="1:2" x14ac:dyDescent="0.3">
      <c r="A235" s="99">
        <v>42769</v>
      </c>
      <c r="B235" s="103">
        <v>8740.9501953125</v>
      </c>
    </row>
    <row r="236" spans="1:2" x14ac:dyDescent="0.3">
      <c r="A236" s="99">
        <v>42772</v>
      </c>
      <c r="B236" s="103">
        <v>8801.0498046875</v>
      </c>
    </row>
    <row r="237" spans="1:2" x14ac:dyDescent="0.3">
      <c r="A237" s="99">
        <v>42773</v>
      </c>
      <c r="B237" s="103">
        <v>8768.2998046875</v>
      </c>
    </row>
    <row r="238" spans="1:2" x14ac:dyDescent="0.3">
      <c r="A238" s="99">
        <v>42774</v>
      </c>
      <c r="B238" s="103">
        <v>8769.0498046875</v>
      </c>
    </row>
    <row r="239" spans="1:2" x14ac:dyDescent="0.3">
      <c r="A239" s="99">
        <v>42775</v>
      </c>
      <c r="B239" s="103">
        <v>8778.400390625</v>
      </c>
    </row>
    <row r="240" spans="1:2" x14ac:dyDescent="0.3">
      <c r="A240" s="99">
        <v>42776</v>
      </c>
      <c r="B240" s="103">
        <v>8793.5498046875</v>
      </c>
    </row>
    <row r="241" spans="1:2" x14ac:dyDescent="0.3">
      <c r="A241" s="99">
        <v>42779</v>
      </c>
      <c r="B241" s="103">
        <v>8805.0498046875</v>
      </c>
    </row>
    <row r="242" spans="1:2" x14ac:dyDescent="0.3">
      <c r="A242" s="99">
        <v>42780</v>
      </c>
      <c r="B242" s="103">
        <v>8792.2998046875</v>
      </c>
    </row>
    <row r="243" spans="1:2" x14ac:dyDescent="0.3">
      <c r="A243" s="99">
        <v>42781</v>
      </c>
      <c r="B243" s="103">
        <v>8724.7001953125</v>
      </c>
    </row>
    <row r="244" spans="1:2" x14ac:dyDescent="0.3">
      <c r="A244" s="99">
        <v>42782</v>
      </c>
      <c r="B244" s="103">
        <v>8778</v>
      </c>
    </row>
    <row r="245" spans="1:2" x14ac:dyDescent="0.3">
      <c r="A245" s="99">
        <v>42783</v>
      </c>
      <c r="B245" s="103">
        <v>8821.7001953125</v>
      </c>
    </row>
    <row r="246" spans="1:2" x14ac:dyDescent="0.3">
      <c r="A246" s="99">
        <v>42786</v>
      </c>
      <c r="B246" s="103">
        <v>8879.2001953125</v>
      </c>
    </row>
    <row r="247" spans="1:2" x14ac:dyDescent="0.3">
      <c r="A247" s="99">
        <v>42787</v>
      </c>
      <c r="B247" s="103">
        <v>8907.849609375</v>
      </c>
    </row>
    <row r="248" spans="1:2" x14ac:dyDescent="0.3">
      <c r="A248" s="99">
        <v>42788</v>
      </c>
      <c r="B248" s="103">
        <v>8926.900390625</v>
      </c>
    </row>
    <row r="249" spans="1:2" x14ac:dyDescent="0.3">
      <c r="A249" s="99">
        <v>42789</v>
      </c>
      <c r="B249" s="103">
        <v>8939.5</v>
      </c>
    </row>
    <row r="250" spans="1:2" x14ac:dyDescent="0.3">
      <c r="A250" s="99">
        <v>42793</v>
      </c>
      <c r="B250" s="103">
        <v>8896.7001953125</v>
      </c>
    </row>
    <row r="251" spans="1:2" x14ac:dyDescent="0.3">
      <c r="A251" s="99">
        <v>42794</v>
      </c>
      <c r="B251" s="103">
        <v>8879.599609375</v>
      </c>
    </row>
    <row r="252" spans="1:2" x14ac:dyDescent="0.3">
      <c r="A252" s="99">
        <v>42795</v>
      </c>
      <c r="B252" s="103">
        <v>8945.7998046875</v>
      </c>
    </row>
    <row r="253" spans="1:2" x14ac:dyDescent="0.3">
      <c r="A253" s="99">
        <v>42796</v>
      </c>
      <c r="B253" s="103">
        <v>8899.75</v>
      </c>
    </row>
    <row r="254" spans="1:2" x14ac:dyDescent="0.3">
      <c r="A254" s="99">
        <v>42797</v>
      </c>
      <c r="B254" s="103">
        <v>8897.5498046875</v>
      </c>
    </row>
    <row r="255" spans="1:2" x14ac:dyDescent="0.3">
      <c r="A255" s="99">
        <v>42800</v>
      </c>
      <c r="B255" s="103">
        <v>8963.4501953125</v>
      </c>
    </row>
    <row r="256" spans="1:2" x14ac:dyDescent="0.3">
      <c r="A256" s="99">
        <v>42801</v>
      </c>
      <c r="B256" s="103">
        <v>8946.900390625</v>
      </c>
    </row>
    <row r="257" spans="1:2" x14ac:dyDescent="0.3">
      <c r="A257" s="99">
        <v>42802</v>
      </c>
      <c r="B257" s="103">
        <v>8924.2998046875</v>
      </c>
    </row>
    <row r="258" spans="1:2" x14ac:dyDescent="0.3">
      <c r="A258" s="99">
        <v>42803</v>
      </c>
      <c r="B258" s="103">
        <v>8927</v>
      </c>
    </row>
    <row r="259" spans="1:2" x14ac:dyDescent="0.3">
      <c r="A259" s="99">
        <v>42804</v>
      </c>
      <c r="B259" s="103">
        <v>8934.5498046875</v>
      </c>
    </row>
    <row r="260" spans="1:2" x14ac:dyDescent="0.3">
      <c r="A260" s="99">
        <v>42808</v>
      </c>
      <c r="B260" s="103">
        <v>9087</v>
      </c>
    </row>
    <row r="261" spans="1:2" x14ac:dyDescent="0.3">
      <c r="A261" s="99">
        <v>42809</v>
      </c>
      <c r="B261" s="103">
        <v>9084.7998046875</v>
      </c>
    </row>
    <row r="262" spans="1:2" x14ac:dyDescent="0.3">
      <c r="A262" s="99">
        <v>42810</v>
      </c>
      <c r="B262" s="103">
        <v>9153.7001953125</v>
      </c>
    </row>
    <row r="263" spans="1:2" x14ac:dyDescent="0.3">
      <c r="A263" s="99">
        <v>42811</v>
      </c>
      <c r="B263" s="103">
        <v>9160.0498046875</v>
      </c>
    </row>
    <row r="264" spans="1:2" x14ac:dyDescent="0.3">
      <c r="A264" s="99">
        <v>42814</v>
      </c>
      <c r="B264" s="103">
        <v>9126.849609375</v>
      </c>
    </row>
    <row r="265" spans="1:2" x14ac:dyDescent="0.3">
      <c r="A265" s="99">
        <v>42815</v>
      </c>
      <c r="B265" s="103">
        <v>9121.5</v>
      </c>
    </row>
    <row r="266" spans="1:2" x14ac:dyDescent="0.3">
      <c r="A266" s="99">
        <v>42816</v>
      </c>
      <c r="B266" s="103">
        <v>9030.4501953125</v>
      </c>
    </row>
    <row r="267" spans="1:2" x14ac:dyDescent="0.3">
      <c r="A267" s="99">
        <v>42817</v>
      </c>
      <c r="B267" s="103">
        <v>9086.2998046875</v>
      </c>
    </row>
    <row r="268" spans="1:2" x14ac:dyDescent="0.3">
      <c r="A268" s="99">
        <v>42818</v>
      </c>
      <c r="B268" s="103">
        <v>9108</v>
      </c>
    </row>
    <row r="269" spans="1:2" x14ac:dyDescent="0.3">
      <c r="A269" s="99">
        <v>42821</v>
      </c>
      <c r="B269" s="103">
        <v>9045.2001953125</v>
      </c>
    </row>
    <row r="270" spans="1:2" x14ac:dyDescent="0.3">
      <c r="A270" s="99">
        <v>42822</v>
      </c>
      <c r="B270" s="103">
        <v>9100.7998046875</v>
      </c>
    </row>
    <row r="271" spans="1:2" x14ac:dyDescent="0.3">
      <c r="A271" s="99">
        <v>42823</v>
      </c>
      <c r="B271" s="103">
        <v>9143.7998046875</v>
      </c>
    </row>
    <row r="272" spans="1:2" x14ac:dyDescent="0.3">
      <c r="A272" s="99">
        <v>42824</v>
      </c>
      <c r="B272" s="103">
        <v>9173.75</v>
      </c>
    </row>
    <row r="273" spans="1:2" x14ac:dyDescent="0.3">
      <c r="A273" s="99">
        <v>42825</v>
      </c>
      <c r="B273" s="103">
        <v>9173.75</v>
      </c>
    </row>
    <row r="274" spans="1:2" x14ac:dyDescent="0.3">
      <c r="A274" s="99">
        <v>42828</v>
      </c>
      <c r="B274" s="103">
        <v>9237.849609375</v>
      </c>
    </row>
    <row r="275" spans="1:2" x14ac:dyDescent="0.3">
      <c r="A275" s="99">
        <v>42830</v>
      </c>
      <c r="B275" s="103">
        <v>9265.150390625</v>
      </c>
    </row>
    <row r="276" spans="1:2" x14ac:dyDescent="0.3">
      <c r="A276" s="99">
        <v>42831</v>
      </c>
      <c r="B276" s="103">
        <v>9261.9501953125</v>
      </c>
    </row>
    <row r="277" spans="1:2" x14ac:dyDescent="0.3">
      <c r="A277" s="99">
        <v>42832</v>
      </c>
      <c r="B277" s="103">
        <v>9198.2998046875</v>
      </c>
    </row>
    <row r="278" spans="1:2" x14ac:dyDescent="0.3">
      <c r="A278" s="99">
        <v>42835</v>
      </c>
      <c r="B278" s="103">
        <v>9181.4501953125</v>
      </c>
    </row>
    <row r="279" spans="1:2" x14ac:dyDescent="0.3">
      <c r="A279" s="99">
        <v>42836</v>
      </c>
      <c r="B279" s="103">
        <v>9237</v>
      </c>
    </row>
    <row r="280" spans="1:2" x14ac:dyDescent="0.3">
      <c r="A280" s="99">
        <v>42837</v>
      </c>
      <c r="B280" s="103">
        <v>9203.4501953125</v>
      </c>
    </row>
    <row r="281" spans="1:2" x14ac:dyDescent="0.3">
      <c r="A281" s="99">
        <v>42838</v>
      </c>
      <c r="B281" s="103">
        <v>9150.7998046875</v>
      </c>
    </row>
    <row r="282" spans="1:2" x14ac:dyDescent="0.3">
      <c r="A282" s="99">
        <v>42842</v>
      </c>
      <c r="B282" s="103">
        <v>9139.2998046875</v>
      </c>
    </row>
    <row r="283" spans="1:2" x14ac:dyDescent="0.3">
      <c r="A283" s="99">
        <v>42843</v>
      </c>
      <c r="B283" s="103">
        <v>9105.150390625</v>
      </c>
    </row>
    <row r="284" spans="1:2" x14ac:dyDescent="0.3">
      <c r="A284" s="99">
        <v>42844</v>
      </c>
      <c r="B284" s="103">
        <v>9103.5</v>
      </c>
    </row>
    <row r="285" spans="1:2" x14ac:dyDescent="0.3">
      <c r="A285" s="99">
        <v>42845</v>
      </c>
      <c r="B285" s="103">
        <v>9136.400390625</v>
      </c>
    </row>
    <row r="286" spans="1:2" x14ac:dyDescent="0.3">
      <c r="A286" s="99">
        <v>42846</v>
      </c>
      <c r="B286" s="103">
        <v>9119.400390625</v>
      </c>
    </row>
    <row r="287" spans="1:2" x14ac:dyDescent="0.3">
      <c r="A287" s="99">
        <v>42849</v>
      </c>
      <c r="B287" s="103">
        <v>9217.9501953125</v>
      </c>
    </row>
    <row r="288" spans="1:2" x14ac:dyDescent="0.3">
      <c r="A288" s="99">
        <v>42850</v>
      </c>
      <c r="B288" s="103">
        <v>9306.599609375</v>
      </c>
    </row>
    <row r="289" spans="1:2" x14ac:dyDescent="0.3">
      <c r="A289" s="99">
        <v>42851</v>
      </c>
      <c r="B289" s="103">
        <v>9351.849609375</v>
      </c>
    </row>
    <row r="290" spans="1:2" x14ac:dyDescent="0.3">
      <c r="A290" s="99">
        <v>42852</v>
      </c>
      <c r="B290" s="103">
        <v>9342.150390625</v>
      </c>
    </row>
    <row r="291" spans="1:2" x14ac:dyDescent="0.3">
      <c r="A291" s="99">
        <v>42853</v>
      </c>
      <c r="B291" s="103">
        <v>9304.0498046875</v>
      </c>
    </row>
    <row r="292" spans="1:2" x14ac:dyDescent="0.3">
      <c r="A292" s="99">
        <v>42857</v>
      </c>
      <c r="B292" s="103">
        <v>9313.7998046875</v>
      </c>
    </row>
    <row r="293" spans="1:2" x14ac:dyDescent="0.3">
      <c r="A293" s="99">
        <v>42858</v>
      </c>
      <c r="B293" s="103">
        <v>9311.9501953125</v>
      </c>
    </row>
    <row r="294" spans="1:2" x14ac:dyDescent="0.3">
      <c r="A294" s="99">
        <v>42859</v>
      </c>
      <c r="B294" s="103">
        <v>9359.900390625</v>
      </c>
    </row>
    <row r="295" spans="1:2" x14ac:dyDescent="0.3">
      <c r="A295" s="99">
        <v>42860</v>
      </c>
      <c r="B295" s="103">
        <v>9285.2998046875</v>
      </c>
    </row>
    <row r="296" spans="1:2" x14ac:dyDescent="0.3">
      <c r="A296" s="99">
        <v>42863</v>
      </c>
      <c r="B296" s="103">
        <v>9314.0498046875</v>
      </c>
    </row>
    <row r="297" spans="1:2" x14ac:dyDescent="0.3">
      <c r="A297" s="99">
        <v>42864</v>
      </c>
      <c r="B297" s="103">
        <v>9316.849609375</v>
      </c>
    </row>
    <row r="298" spans="1:2" x14ac:dyDescent="0.3">
      <c r="A298" s="99">
        <v>42865</v>
      </c>
      <c r="B298" s="103">
        <v>9407.2998046875</v>
      </c>
    </row>
    <row r="299" spans="1:2" x14ac:dyDescent="0.3">
      <c r="A299" s="99">
        <v>42866</v>
      </c>
      <c r="B299" s="103">
        <v>9422.400390625</v>
      </c>
    </row>
    <row r="300" spans="1:2" x14ac:dyDescent="0.3">
      <c r="A300" s="99">
        <v>42867</v>
      </c>
      <c r="B300" s="103">
        <v>9400.900390625</v>
      </c>
    </row>
    <row r="301" spans="1:2" x14ac:dyDescent="0.3">
      <c r="A301" s="99">
        <v>42870</v>
      </c>
      <c r="B301" s="103">
        <v>9445.400390625</v>
      </c>
    </row>
    <row r="302" spans="1:2" x14ac:dyDescent="0.3">
      <c r="A302" s="99">
        <v>42871</v>
      </c>
      <c r="B302" s="103">
        <v>9512.25</v>
      </c>
    </row>
    <row r="303" spans="1:2" x14ac:dyDescent="0.3">
      <c r="A303" s="99">
        <v>42872</v>
      </c>
      <c r="B303" s="103">
        <v>9525.75</v>
      </c>
    </row>
    <row r="304" spans="1:2" x14ac:dyDescent="0.3">
      <c r="A304" s="99">
        <v>42873</v>
      </c>
      <c r="B304" s="103">
        <v>9429.4501953125</v>
      </c>
    </row>
    <row r="305" spans="1:2" x14ac:dyDescent="0.3">
      <c r="A305" s="99">
        <v>42874</v>
      </c>
      <c r="B305" s="103">
        <v>9427.900390625</v>
      </c>
    </row>
    <row r="306" spans="1:2" x14ac:dyDescent="0.3">
      <c r="A306" s="99">
        <v>42877</v>
      </c>
      <c r="B306" s="103">
        <v>9438.25</v>
      </c>
    </row>
    <row r="307" spans="1:2" x14ac:dyDescent="0.3">
      <c r="A307" s="99">
        <v>42878</v>
      </c>
      <c r="B307" s="103">
        <v>9386.150390625</v>
      </c>
    </row>
    <row r="308" spans="1:2" x14ac:dyDescent="0.3">
      <c r="A308" s="99">
        <v>42879</v>
      </c>
      <c r="B308" s="103">
        <v>9360.5498046875</v>
      </c>
    </row>
    <row r="309" spans="1:2" x14ac:dyDescent="0.3">
      <c r="A309" s="99">
        <v>42880</v>
      </c>
      <c r="B309" s="103">
        <v>9509.75</v>
      </c>
    </row>
    <row r="310" spans="1:2" x14ac:dyDescent="0.3">
      <c r="A310" s="99">
        <v>42881</v>
      </c>
      <c r="B310" s="103">
        <v>9595.099609375</v>
      </c>
    </row>
    <row r="311" spans="1:2" x14ac:dyDescent="0.3">
      <c r="A311" s="99">
        <v>42884</v>
      </c>
      <c r="B311" s="103">
        <v>9604.900390625</v>
      </c>
    </row>
    <row r="312" spans="1:2" x14ac:dyDescent="0.3">
      <c r="A312" s="99">
        <v>42885</v>
      </c>
      <c r="B312" s="103">
        <v>9624.5498046875</v>
      </c>
    </row>
    <row r="313" spans="1:2" x14ac:dyDescent="0.3">
      <c r="A313" s="99">
        <v>42886</v>
      </c>
      <c r="B313" s="103">
        <v>9621.25</v>
      </c>
    </row>
    <row r="314" spans="1:2" x14ac:dyDescent="0.3">
      <c r="A314" s="99">
        <v>42887</v>
      </c>
      <c r="B314" s="103">
        <v>9616.099609375</v>
      </c>
    </row>
    <row r="315" spans="1:2" x14ac:dyDescent="0.3">
      <c r="A315" s="99">
        <v>42888</v>
      </c>
      <c r="B315" s="103">
        <v>9653.5</v>
      </c>
    </row>
    <row r="316" spans="1:2" x14ac:dyDescent="0.3">
      <c r="A316" s="99">
        <v>42891</v>
      </c>
      <c r="B316" s="103">
        <v>9675.099609375</v>
      </c>
    </row>
    <row r="317" spans="1:2" x14ac:dyDescent="0.3">
      <c r="A317" s="99">
        <v>42892</v>
      </c>
      <c r="B317" s="103">
        <v>9637.150390625</v>
      </c>
    </row>
    <row r="318" spans="1:2" x14ac:dyDescent="0.3">
      <c r="A318" s="99">
        <v>42893</v>
      </c>
      <c r="B318" s="103">
        <v>9663.900390625</v>
      </c>
    </row>
    <row r="319" spans="1:2" x14ac:dyDescent="0.3">
      <c r="A319" s="99">
        <v>42894</v>
      </c>
      <c r="B319" s="103">
        <v>9647.25</v>
      </c>
    </row>
    <row r="320" spans="1:2" x14ac:dyDescent="0.3">
      <c r="A320" s="99">
        <v>42895</v>
      </c>
      <c r="B320" s="103">
        <v>9668.25</v>
      </c>
    </row>
    <row r="321" spans="1:2" x14ac:dyDescent="0.3">
      <c r="A321" s="99">
        <v>42898</v>
      </c>
      <c r="B321" s="103">
        <v>9616.400390625</v>
      </c>
    </row>
    <row r="322" spans="1:2" x14ac:dyDescent="0.3">
      <c r="A322" s="99">
        <v>42899</v>
      </c>
      <c r="B322" s="103">
        <v>9606.900390625</v>
      </c>
    </row>
    <row r="323" spans="1:2" x14ac:dyDescent="0.3">
      <c r="A323" s="99">
        <v>42900</v>
      </c>
      <c r="B323" s="103">
        <v>9618.150390625</v>
      </c>
    </row>
    <row r="324" spans="1:2" x14ac:dyDescent="0.3">
      <c r="A324" s="99">
        <v>42901</v>
      </c>
      <c r="B324" s="103">
        <v>9578.0498046875</v>
      </c>
    </row>
    <row r="325" spans="1:2" x14ac:dyDescent="0.3">
      <c r="A325" s="99">
        <v>42902</v>
      </c>
      <c r="B325" s="103">
        <v>9588.0498046875</v>
      </c>
    </row>
    <row r="326" spans="1:2" x14ac:dyDescent="0.3">
      <c r="A326" s="99">
        <v>42905</v>
      </c>
      <c r="B326" s="103">
        <v>9657.5498046875</v>
      </c>
    </row>
    <row r="327" spans="1:2" x14ac:dyDescent="0.3">
      <c r="A327" s="99">
        <v>42906</v>
      </c>
      <c r="B327" s="103">
        <v>9653.5</v>
      </c>
    </row>
    <row r="328" spans="1:2" x14ac:dyDescent="0.3">
      <c r="A328" s="99">
        <v>42907</v>
      </c>
      <c r="B328" s="103">
        <v>9633.599609375</v>
      </c>
    </row>
    <row r="329" spans="1:2" x14ac:dyDescent="0.3">
      <c r="A329" s="99">
        <v>42908</v>
      </c>
      <c r="B329" s="103">
        <v>9630</v>
      </c>
    </row>
    <row r="330" spans="1:2" x14ac:dyDescent="0.3">
      <c r="A330" s="99">
        <v>42909</v>
      </c>
      <c r="B330" s="103">
        <v>9574.9501953125</v>
      </c>
    </row>
    <row r="331" spans="1:2" x14ac:dyDescent="0.3">
      <c r="A331" s="99">
        <v>42913</v>
      </c>
      <c r="B331" s="103">
        <v>9511.400390625</v>
      </c>
    </row>
    <row r="332" spans="1:2" x14ac:dyDescent="0.3">
      <c r="A332" s="99">
        <v>42914</v>
      </c>
      <c r="B332" s="103">
        <v>9491.25</v>
      </c>
    </row>
    <row r="333" spans="1:2" x14ac:dyDescent="0.3">
      <c r="A333" s="99">
        <v>42915</v>
      </c>
      <c r="B333" s="103">
        <v>9504.099609375</v>
      </c>
    </row>
    <row r="334" spans="1:2" x14ac:dyDescent="0.3">
      <c r="A334" s="99">
        <v>42916</v>
      </c>
      <c r="B334" s="103">
        <v>9520.900390625</v>
      </c>
    </row>
    <row r="335" spans="1:2" x14ac:dyDescent="0.3">
      <c r="A335" s="99">
        <v>42919</v>
      </c>
      <c r="B335" s="103">
        <v>9615</v>
      </c>
    </row>
    <row r="336" spans="1:2" x14ac:dyDescent="0.3">
      <c r="A336" s="99">
        <v>42920</v>
      </c>
      <c r="B336" s="103">
        <v>9613.2998046875</v>
      </c>
    </row>
    <row r="337" spans="1:2" x14ac:dyDescent="0.3">
      <c r="A337" s="99">
        <v>42921</v>
      </c>
      <c r="B337" s="103">
        <v>9637.599609375</v>
      </c>
    </row>
    <row r="338" spans="1:2" x14ac:dyDescent="0.3">
      <c r="A338" s="99">
        <v>42922</v>
      </c>
      <c r="B338" s="103">
        <v>9674.5498046875</v>
      </c>
    </row>
    <row r="339" spans="1:2" x14ac:dyDescent="0.3">
      <c r="A339" s="99">
        <v>42923</v>
      </c>
      <c r="B339" s="103">
        <v>9665.7998046875</v>
      </c>
    </row>
    <row r="340" spans="1:2" x14ac:dyDescent="0.3">
      <c r="A340" s="99">
        <v>42926</v>
      </c>
      <c r="B340" s="103">
        <v>9771.0498046875</v>
      </c>
    </row>
    <row r="341" spans="1:2" x14ac:dyDescent="0.3">
      <c r="A341" s="99">
        <v>42927</v>
      </c>
      <c r="B341" s="103">
        <v>9786.0498046875</v>
      </c>
    </row>
    <row r="342" spans="1:2" x14ac:dyDescent="0.3">
      <c r="A342" s="99">
        <v>42928</v>
      </c>
      <c r="B342" s="103">
        <v>9816.099609375</v>
      </c>
    </row>
    <row r="343" spans="1:2" x14ac:dyDescent="0.3">
      <c r="A343" s="99">
        <v>42929</v>
      </c>
      <c r="B343" s="103">
        <v>9891.7001953125</v>
      </c>
    </row>
    <row r="344" spans="1:2" x14ac:dyDescent="0.3">
      <c r="A344" s="99">
        <v>42930</v>
      </c>
      <c r="B344" s="103">
        <v>9886.349609375</v>
      </c>
    </row>
    <row r="345" spans="1:2" x14ac:dyDescent="0.3">
      <c r="A345" s="99">
        <v>42933</v>
      </c>
      <c r="B345" s="103">
        <v>9915.9501953125</v>
      </c>
    </row>
    <row r="346" spans="1:2" x14ac:dyDescent="0.3">
      <c r="A346" s="99">
        <v>42934</v>
      </c>
      <c r="B346" s="103">
        <v>9827.150390625</v>
      </c>
    </row>
    <row r="347" spans="1:2" x14ac:dyDescent="0.3">
      <c r="A347" s="99">
        <v>42935</v>
      </c>
      <c r="B347" s="103">
        <v>9899.599609375</v>
      </c>
    </row>
    <row r="348" spans="1:2" x14ac:dyDescent="0.3">
      <c r="A348" s="99">
        <v>42936</v>
      </c>
      <c r="B348" s="103">
        <v>9873.2998046875</v>
      </c>
    </row>
    <row r="349" spans="1:2" x14ac:dyDescent="0.3">
      <c r="A349" s="99">
        <v>42937</v>
      </c>
      <c r="B349" s="103">
        <v>9915.25</v>
      </c>
    </row>
    <row r="350" spans="1:2" x14ac:dyDescent="0.3">
      <c r="A350" s="99">
        <v>42940</v>
      </c>
      <c r="B350" s="103">
        <v>9966.400390625</v>
      </c>
    </row>
    <row r="351" spans="1:2" x14ac:dyDescent="0.3">
      <c r="A351" s="99">
        <v>42941</v>
      </c>
      <c r="B351" s="103">
        <v>9964.5498046875</v>
      </c>
    </row>
    <row r="352" spans="1:2" x14ac:dyDescent="0.3">
      <c r="A352" s="99">
        <v>42942</v>
      </c>
      <c r="B352" s="103">
        <v>10020.650390625</v>
      </c>
    </row>
    <row r="353" spans="1:2" x14ac:dyDescent="0.3">
      <c r="A353" s="99">
        <v>42943</v>
      </c>
      <c r="B353" s="103">
        <v>10020.5498046875</v>
      </c>
    </row>
    <row r="354" spans="1:2" x14ac:dyDescent="0.3">
      <c r="A354" s="99">
        <v>42944</v>
      </c>
      <c r="B354" s="103">
        <v>10014.5</v>
      </c>
    </row>
    <row r="355" spans="1:2" x14ac:dyDescent="0.3">
      <c r="A355" s="99">
        <v>42947</v>
      </c>
      <c r="B355" s="103">
        <v>10077.099609375</v>
      </c>
    </row>
    <row r="356" spans="1:2" x14ac:dyDescent="0.3">
      <c r="A356" s="99">
        <v>42948</v>
      </c>
      <c r="B356" s="103">
        <v>10114.650390625</v>
      </c>
    </row>
    <row r="357" spans="1:2" x14ac:dyDescent="0.3">
      <c r="A357" s="99">
        <v>42949</v>
      </c>
      <c r="B357" s="103">
        <v>10081.5</v>
      </c>
    </row>
    <row r="358" spans="1:2" x14ac:dyDescent="0.3">
      <c r="A358" s="99">
        <v>42950</v>
      </c>
      <c r="B358" s="103">
        <v>10013.650390625</v>
      </c>
    </row>
    <row r="359" spans="1:2" x14ac:dyDescent="0.3">
      <c r="A359" s="99">
        <v>42951</v>
      </c>
      <c r="B359" s="103">
        <v>10066.400390625</v>
      </c>
    </row>
    <row r="360" spans="1:2" x14ac:dyDescent="0.3">
      <c r="A360" s="99">
        <v>42954</v>
      </c>
      <c r="B360" s="103">
        <v>10057.400390625</v>
      </c>
    </row>
    <row r="361" spans="1:2" x14ac:dyDescent="0.3">
      <c r="A361" s="99">
        <v>42955</v>
      </c>
      <c r="B361" s="103">
        <v>9978.5498046875</v>
      </c>
    </row>
    <row r="362" spans="1:2" x14ac:dyDescent="0.3">
      <c r="A362" s="99">
        <v>42956</v>
      </c>
      <c r="B362" s="103">
        <v>9908.0498046875</v>
      </c>
    </row>
    <row r="363" spans="1:2" x14ac:dyDescent="0.3">
      <c r="A363" s="99">
        <v>42957</v>
      </c>
      <c r="B363" s="103">
        <v>9820.25</v>
      </c>
    </row>
    <row r="364" spans="1:2" x14ac:dyDescent="0.3">
      <c r="A364" s="99">
        <v>42958</v>
      </c>
      <c r="B364" s="103">
        <v>9710.7998046875</v>
      </c>
    </row>
    <row r="365" spans="1:2" x14ac:dyDescent="0.3">
      <c r="A365" s="99">
        <v>42961</v>
      </c>
      <c r="B365" s="103">
        <v>9794.150390625</v>
      </c>
    </row>
    <row r="366" spans="1:2" x14ac:dyDescent="0.3">
      <c r="A366" s="99">
        <v>42963</v>
      </c>
      <c r="B366" s="103">
        <v>9897.2998046875</v>
      </c>
    </row>
    <row r="367" spans="1:2" x14ac:dyDescent="0.3">
      <c r="A367" s="99">
        <v>42964</v>
      </c>
      <c r="B367" s="103">
        <v>9904.150390625</v>
      </c>
    </row>
    <row r="368" spans="1:2" x14ac:dyDescent="0.3">
      <c r="A368" s="99">
        <v>42965</v>
      </c>
      <c r="B368" s="103">
        <v>9837.400390625</v>
      </c>
    </row>
    <row r="369" spans="1:2" x14ac:dyDescent="0.3">
      <c r="A369" s="99">
        <v>42968</v>
      </c>
      <c r="B369" s="103">
        <v>9754.349609375</v>
      </c>
    </row>
    <row r="370" spans="1:2" x14ac:dyDescent="0.3">
      <c r="A370" s="99">
        <v>42969</v>
      </c>
      <c r="B370" s="103">
        <v>9765.5498046875</v>
      </c>
    </row>
    <row r="371" spans="1:2" x14ac:dyDescent="0.3">
      <c r="A371" s="99">
        <v>42970</v>
      </c>
      <c r="B371" s="103">
        <v>9852.5</v>
      </c>
    </row>
    <row r="372" spans="1:2" x14ac:dyDescent="0.3">
      <c r="A372" s="99">
        <v>42971</v>
      </c>
      <c r="B372" s="103">
        <v>9857.0498046875</v>
      </c>
    </row>
    <row r="373" spans="1:2" x14ac:dyDescent="0.3">
      <c r="A373" s="99">
        <v>42975</v>
      </c>
      <c r="B373" s="103">
        <v>9912.7998046875</v>
      </c>
    </row>
    <row r="374" spans="1:2" x14ac:dyDescent="0.3">
      <c r="A374" s="99">
        <v>42976</v>
      </c>
      <c r="B374" s="103">
        <v>9796.0498046875</v>
      </c>
    </row>
    <row r="375" spans="1:2" x14ac:dyDescent="0.3">
      <c r="A375" s="99">
        <v>42977</v>
      </c>
      <c r="B375" s="103">
        <v>9884.400390625</v>
      </c>
    </row>
    <row r="376" spans="1:2" x14ac:dyDescent="0.3">
      <c r="A376" s="99">
        <v>42978</v>
      </c>
      <c r="B376" s="103">
        <v>9917.900390625</v>
      </c>
    </row>
    <row r="377" spans="1:2" x14ac:dyDescent="0.3">
      <c r="A377" s="99">
        <v>42979</v>
      </c>
      <c r="B377" s="103">
        <v>9974.400390625</v>
      </c>
    </row>
    <row r="378" spans="1:2" x14ac:dyDescent="0.3">
      <c r="A378" s="99">
        <v>42982</v>
      </c>
      <c r="B378" s="103">
        <v>9912.849609375</v>
      </c>
    </row>
    <row r="379" spans="1:2" x14ac:dyDescent="0.3">
      <c r="A379" s="99">
        <v>42983</v>
      </c>
      <c r="B379" s="103">
        <v>9952.2001953125</v>
      </c>
    </row>
    <row r="380" spans="1:2" x14ac:dyDescent="0.3">
      <c r="A380" s="99">
        <v>42984</v>
      </c>
      <c r="B380" s="103">
        <v>9916.2001953125</v>
      </c>
    </row>
    <row r="381" spans="1:2" x14ac:dyDescent="0.3">
      <c r="A381" s="99">
        <v>42985</v>
      </c>
      <c r="B381" s="103">
        <v>9929.900390625</v>
      </c>
    </row>
    <row r="382" spans="1:2" x14ac:dyDescent="0.3">
      <c r="A382" s="99">
        <v>42986</v>
      </c>
      <c r="B382" s="103">
        <v>9934.7998046875</v>
      </c>
    </row>
    <row r="383" spans="1:2" x14ac:dyDescent="0.3">
      <c r="A383" s="99">
        <v>42989</v>
      </c>
      <c r="B383" s="103">
        <v>10006.0498046875</v>
      </c>
    </row>
    <row r="384" spans="1:2" x14ac:dyDescent="0.3">
      <c r="A384" s="99">
        <v>42990</v>
      </c>
      <c r="B384" s="103">
        <v>10093.0498046875</v>
      </c>
    </row>
    <row r="385" spans="1:2" x14ac:dyDescent="0.3">
      <c r="A385" s="99">
        <v>42991</v>
      </c>
      <c r="B385" s="103">
        <v>10079.2998046875</v>
      </c>
    </row>
    <row r="386" spans="1:2" x14ac:dyDescent="0.3">
      <c r="A386" s="99">
        <v>42992</v>
      </c>
      <c r="B386" s="103">
        <v>10086.599609375</v>
      </c>
    </row>
    <row r="387" spans="1:2" x14ac:dyDescent="0.3">
      <c r="A387" s="99">
        <v>42993</v>
      </c>
      <c r="B387" s="103">
        <v>10085.400390625</v>
      </c>
    </row>
    <row r="388" spans="1:2" x14ac:dyDescent="0.3">
      <c r="A388" s="99">
        <v>42996</v>
      </c>
      <c r="B388" s="103">
        <v>10153.099609375</v>
      </c>
    </row>
    <row r="389" spans="1:2" x14ac:dyDescent="0.3">
      <c r="A389" s="99">
        <v>42997</v>
      </c>
      <c r="B389" s="103">
        <v>10147.5498046875</v>
      </c>
    </row>
    <row r="390" spans="1:2" x14ac:dyDescent="0.3">
      <c r="A390" s="99">
        <v>42998</v>
      </c>
      <c r="B390" s="103">
        <v>10141.150390625</v>
      </c>
    </row>
    <row r="391" spans="1:2" x14ac:dyDescent="0.3">
      <c r="A391" s="99">
        <v>42999</v>
      </c>
      <c r="B391" s="103">
        <v>10121.900390625</v>
      </c>
    </row>
    <row r="392" spans="1:2" x14ac:dyDescent="0.3">
      <c r="A392" s="99">
        <v>43000</v>
      </c>
      <c r="B392" s="103">
        <v>9964.400390625</v>
      </c>
    </row>
    <row r="393" spans="1:2" x14ac:dyDescent="0.3">
      <c r="A393" s="99">
        <v>43003</v>
      </c>
      <c r="B393" s="103">
        <v>9872.599609375</v>
      </c>
    </row>
    <row r="394" spans="1:2" x14ac:dyDescent="0.3">
      <c r="A394" s="99">
        <v>43004</v>
      </c>
      <c r="B394" s="103">
        <v>9871.5</v>
      </c>
    </row>
    <row r="395" spans="1:2" x14ac:dyDescent="0.3">
      <c r="A395" s="99">
        <v>43005</v>
      </c>
      <c r="B395" s="103">
        <v>9735.75</v>
      </c>
    </row>
    <row r="396" spans="1:2" x14ac:dyDescent="0.3">
      <c r="A396" s="99">
        <v>43006</v>
      </c>
      <c r="B396" s="103">
        <v>9768.9501953125</v>
      </c>
    </row>
    <row r="397" spans="1:2" x14ac:dyDescent="0.3">
      <c r="A397" s="99">
        <v>43007</v>
      </c>
      <c r="B397" s="103">
        <v>9788.599609375</v>
      </c>
    </row>
    <row r="398" spans="1:2" x14ac:dyDescent="0.3">
      <c r="A398" s="99">
        <v>43011</v>
      </c>
      <c r="B398" s="103">
        <v>9859.5</v>
      </c>
    </row>
    <row r="399" spans="1:2" x14ac:dyDescent="0.3">
      <c r="A399" s="99">
        <v>43012</v>
      </c>
      <c r="B399" s="103">
        <v>9914.900390625</v>
      </c>
    </row>
    <row r="400" spans="1:2" x14ac:dyDescent="0.3">
      <c r="A400" s="99">
        <v>43013</v>
      </c>
      <c r="B400" s="103">
        <v>9888.7001953125</v>
      </c>
    </row>
    <row r="401" spans="1:2" x14ac:dyDescent="0.3">
      <c r="A401" s="99">
        <v>43014</v>
      </c>
      <c r="B401" s="103">
        <v>9979.7001953125</v>
      </c>
    </row>
    <row r="402" spans="1:2" x14ac:dyDescent="0.3">
      <c r="A402" s="99">
        <v>43017</v>
      </c>
      <c r="B402" s="103">
        <v>9988.75</v>
      </c>
    </row>
    <row r="403" spans="1:2" x14ac:dyDescent="0.3">
      <c r="A403" s="99">
        <v>43018</v>
      </c>
      <c r="B403" s="103">
        <v>10016.9501953125</v>
      </c>
    </row>
    <row r="404" spans="1:2" x14ac:dyDescent="0.3">
      <c r="A404" s="99">
        <v>43019</v>
      </c>
      <c r="B404" s="103">
        <v>9984.7998046875</v>
      </c>
    </row>
    <row r="405" spans="1:2" x14ac:dyDescent="0.3">
      <c r="A405" s="99">
        <v>43020</v>
      </c>
      <c r="B405" s="103">
        <v>10096.400390625</v>
      </c>
    </row>
    <row r="406" spans="1:2" x14ac:dyDescent="0.3">
      <c r="A406" s="99">
        <v>43021</v>
      </c>
      <c r="B406" s="103">
        <v>10167.4501953125</v>
      </c>
    </row>
    <row r="407" spans="1:2" x14ac:dyDescent="0.3">
      <c r="A407" s="99">
        <v>43024</v>
      </c>
      <c r="B407" s="103">
        <v>10230.849609375</v>
      </c>
    </row>
    <row r="408" spans="1:2" x14ac:dyDescent="0.3">
      <c r="A408" s="99">
        <v>43025</v>
      </c>
      <c r="B408" s="103">
        <v>10234.4501953125</v>
      </c>
    </row>
    <row r="409" spans="1:2" x14ac:dyDescent="0.3">
      <c r="A409" s="99">
        <v>43026</v>
      </c>
      <c r="B409" s="103">
        <v>10210.849609375</v>
      </c>
    </row>
    <row r="410" spans="1:2" x14ac:dyDescent="0.3">
      <c r="A410" s="99">
        <v>43027</v>
      </c>
      <c r="B410" s="103">
        <v>10146.5498046875</v>
      </c>
    </row>
    <row r="411" spans="1:2" x14ac:dyDescent="0.3">
      <c r="A411" s="99">
        <v>43031</v>
      </c>
      <c r="B411" s="103">
        <v>10184.849609375</v>
      </c>
    </row>
    <row r="412" spans="1:2" x14ac:dyDescent="0.3">
      <c r="A412" s="99">
        <v>43032</v>
      </c>
      <c r="B412" s="103">
        <v>10207.7001953125</v>
      </c>
    </row>
    <row r="413" spans="1:2" x14ac:dyDescent="0.3">
      <c r="A413" s="99">
        <v>43033</v>
      </c>
      <c r="B413" s="103">
        <v>10295.349609375</v>
      </c>
    </row>
    <row r="414" spans="1:2" x14ac:dyDescent="0.3">
      <c r="A414" s="99">
        <v>43034</v>
      </c>
      <c r="B414" s="103">
        <v>10343.7998046875</v>
      </c>
    </row>
    <row r="415" spans="1:2" x14ac:dyDescent="0.3">
      <c r="A415" s="99">
        <v>43035</v>
      </c>
      <c r="B415" s="103">
        <v>10323.0498046875</v>
      </c>
    </row>
    <row r="416" spans="1:2" x14ac:dyDescent="0.3">
      <c r="A416" s="99">
        <v>43038</v>
      </c>
      <c r="B416" s="103">
        <v>10363.650390625</v>
      </c>
    </row>
    <row r="417" spans="1:2" x14ac:dyDescent="0.3">
      <c r="A417" s="99">
        <v>43039</v>
      </c>
      <c r="B417" s="103">
        <v>10335.2998046875</v>
      </c>
    </row>
    <row r="418" spans="1:2" x14ac:dyDescent="0.3">
      <c r="A418" s="99">
        <v>43040</v>
      </c>
      <c r="B418" s="103">
        <v>10440.5</v>
      </c>
    </row>
    <row r="419" spans="1:2" x14ac:dyDescent="0.3">
      <c r="A419" s="99">
        <v>43041</v>
      </c>
      <c r="B419" s="103">
        <v>10423.7998046875</v>
      </c>
    </row>
    <row r="420" spans="1:2" x14ac:dyDescent="0.3">
      <c r="A420" s="99">
        <v>43042</v>
      </c>
      <c r="B420" s="103">
        <v>10452.5</v>
      </c>
    </row>
    <row r="421" spans="1:2" x14ac:dyDescent="0.3">
      <c r="A421" s="99">
        <v>43045</v>
      </c>
      <c r="B421" s="103">
        <v>10451.7998046875</v>
      </c>
    </row>
    <row r="422" spans="1:2" x14ac:dyDescent="0.3">
      <c r="A422" s="99">
        <v>43046</v>
      </c>
      <c r="B422" s="103">
        <v>10350.150390625</v>
      </c>
    </row>
    <row r="423" spans="1:2" x14ac:dyDescent="0.3">
      <c r="A423" s="99">
        <v>43047</v>
      </c>
      <c r="B423" s="103">
        <v>10303.150390625</v>
      </c>
    </row>
    <row r="424" spans="1:2" x14ac:dyDescent="0.3">
      <c r="A424" s="99">
        <v>43048</v>
      </c>
      <c r="B424" s="103">
        <v>10308.9501953125</v>
      </c>
    </row>
    <row r="425" spans="1:2" x14ac:dyDescent="0.3">
      <c r="A425" s="99">
        <v>43049</v>
      </c>
      <c r="B425" s="103">
        <v>10321.75</v>
      </c>
    </row>
    <row r="426" spans="1:2" x14ac:dyDescent="0.3">
      <c r="A426" s="99">
        <v>43052</v>
      </c>
      <c r="B426" s="103">
        <v>10224.9501953125</v>
      </c>
    </row>
    <row r="427" spans="1:2" x14ac:dyDescent="0.3">
      <c r="A427" s="99">
        <v>43053</v>
      </c>
      <c r="B427" s="103">
        <v>10186.599609375</v>
      </c>
    </row>
    <row r="428" spans="1:2" x14ac:dyDescent="0.3">
      <c r="A428" s="99">
        <v>43054</v>
      </c>
      <c r="B428" s="103">
        <v>10118.0498046875</v>
      </c>
    </row>
    <row r="429" spans="1:2" x14ac:dyDescent="0.3">
      <c r="A429" s="99">
        <v>43055</v>
      </c>
      <c r="B429" s="103">
        <v>10214.75</v>
      </c>
    </row>
    <row r="430" spans="1:2" x14ac:dyDescent="0.3">
      <c r="A430" s="99">
        <v>43056</v>
      </c>
      <c r="B430" s="103">
        <v>10283.599609375</v>
      </c>
    </row>
    <row r="431" spans="1:2" x14ac:dyDescent="0.3">
      <c r="A431" s="99">
        <v>43059</v>
      </c>
      <c r="B431" s="103">
        <v>10298.75</v>
      </c>
    </row>
    <row r="432" spans="1:2" x14ac:dyDescent="0.3">
      <c r="A432" s="99">
        <v>43060</v>
      </c>
      <c r="B432" s="103">
        <v>10326.900390625</v>
      </c>
    </row>
    <row r="433" spans="1:2" x14ac:dyDescent="0.3">
      <c r="A433" s="99">
        <v>43061</v>
      </c>
      <c r="B433" s="103">
        <v>10342.2998046875</v>
      </c>
    </row>
    <row r="434" spans="1:2" x14ac:dyDescent="0.3">
      <c r="A434" s="99">
        <v>43062</v>
      </c>
      <c r="B434" s="103">
        <v>10348.75</v>
      </c>
    </row>
    <row r="435" spans="1:2" x14ac:dyDescent="0.3">
      <c r="A435" s="99">
        <v>43063</v>
      </c>
      <c r="B435" s="103">
        <v>10389.7001953125</v>
      </c>
    </row>
    <row r="436" spans="1:2" x14ac:dyDescent="0.3">
      <c r="A436" s="99">
        <v>43066</v>
      </c>
      <c r="B436" s="103">
        <v>10399.5498046875</v>
      </c>
    </row>
    <row r="437" spans="1:2" x14ac:dyDescent="0.3">
      <c r="A437" s="99">
        <v>43067</v>
      </c>
      <c r="B437" s="103">
        <v>10370.25</v>
      </c>
    </row>
    <row r="438" spans="1:2" x14ac:dyDescent="0.3">
      <c r="A438" s="99">
        <v>43068</v>
      </c>
      <c r="B438" s="103">
        <v>10361.2998046875</v>
      </c>
    </row>
    <row r="439" spans="1:2" x14ac:dyDescent="0.3">
      <c r="A439" s="99">
        <v>43069</v>
      </c>
      <c r="B439" s="103">
        <v>10226.5498046875</v>
      </c>
    </row>
    <row r="440" spans="1:2" x14ac:dyDescent="0.3">
      <c r="A440" s="99">
        <v>43070</v>
      </c>
      <c r="B440" s="103">
        <v>10121.7998046875</v>
      </c>
    </row>
    <row r="441" spans="1:2" x14ac:dyDescent="0.3">
      <c r="A441" s="99">
        <v>43073</v>
      </c>
      <c r="B441" s="103">
        <v>10127.75</v>
      </c>
    </row>
    <row r="442" spans="1:2" x14ac:dyDescent="0.3">
      <c r="A442" s="99">
        <v>43074</v>
      </c>
      <c r="B442" s="103">
        <v>10118.25</v>
      </c>
    </row>
    <row r="443" spans="1:2" x14ac:dyDescent="0.3">
      <c r="A443" s="99">
        <v>43075</v>
      </c>
      <c r="B443" s="103">
        <v>10044.099609375</v>
      </c>
    </row>
    <row r="444" spans="1:2" x14ac:dyDescent="0.3">
      <c r="A444" s="99">
        <v>43076</v>
      </c>
      <c r="B444" s="103">
        <v>10166.7001953125</v>
      </c>
    </row>
    <row r="445" spans="1:2" x14ac:dyDescent="0.3">
      <c r="A445" s="99">
        <v>43077</v>
      </c>
      <c r="B445" s="103">
        <v>10265.650390625</v>
      </c>
    </row>
    <row r="446" spans="1:2" x14ac:dyDescent="0.3">
      <c r="A446" s="99">
        <v>43080</v>
      </c>
      <c r="B446" s="103">
        <v>10322.25</v>
      </c>
    </row>
    <row r="447" spans="1:2" x14ac:dyDescent="0.3">
      <c r="A447" s="99">
        <v>43081</v>
      </c>
      <c r="B447" s="103">
        <v>10240.150390625</v>
      </c>
    </row>
    <row r="448" spans="1:2" x14ac:dyDescent="0.3">
      <c r="A448" s="99">
        <v>43082</v>
      </c>
      <c r="B448" s="103">
        <v>10192.9501953125</v>
      </c>
    </row>
    <row r="449" spans="1:2" x14ac:dyDescent="0.3">
      <c r="A449" s="99">
        <v>43083</v>
      </c>
      <c r="B449" s="103">
        <v>10252.099609375</v>
      </c>
    </row>
    <row r="450" spans="1:2" x14ac:dyDescent="0.3">
      <c r="A450" s="99">
        <v>43084</v>
      </c>
      <c r="B450" s="103">
        <v>10333.25</v>
      </c>
    </row>
    <row r="451" spans="1:2" x14ac:dyDescent="0.3">
      <c r="A451" s="99">
        <v>43087</v>
      </c>
      <c r="B451" s="103">
        <v>10388.75</v>
      </c>
    </row>
    <row r="452" spans="1:2" x14ac:dyDescent="0.3">
      <c r="A452" s="99">
        <v>43088</v>
      </c>
      <c r="B452" s="103">
        <v>10463.2001953125</v>
      </c>
    </row>
    <row r="453" spans="1:2" x14ac:dyDescent="0.3">
      <c r="A453" s="99">
        <v>43089</v>
      </c>
      <c r="B453" s="103">
        <v>10444.2001953125</v>
      </c>
    </row>
    <row r="454" spans="1:2" x14ac:dyDescent="0.3">
      <c r="A454" s="99">
        <v>43090</v>
      </c>
      <c r="B454" s="103">
        <v>10440.2998046875</v>
      </c>
    </row>
    <row r="455" spans="1:2" x14ac:dyDescent="0.3">
      <c r="A455" s="99">
        <v>43091</v>
      </c>
      <c r="B455" s="103">
        <v>10493</v>
      </c>
    </row>
    <row r="456" spans="1:2" x14ac:dyDescent="0.3">
      <c r="A456" s="99">
        <v>43095</v>
      </c>
      <c r="B456" s="103">
        <v>10531.5</v>
      </c>
    </row>
    <row r="457" spans="1:2" x14ac:dyDescent="0.3">
      <c r="A457" s="99">
        <v>43096</v>
      </c>
      <c r="B457" s="103">
        <v>10490.75</v>
      </c>
    </row>
    <row r="458" spans="1:2" x14ac:dyDescent="0.3">
      <c r="A458" s="99">
        <v>43097</v>
      </c>
      <c r="B458" s="103">
        <v>10477.900390625</v>
      </c>
    </row>
    <row r="459" spans="1:2" x14ac:dyDescent="0.3">
      <c r="A459" s="99">
        <v>43098</v>
      </c>
      <c r="B459" s="103">
        <v>10530.7001953125</v>
      </c>
    </row>
    <row r="460" spans="1:2" x14ac:dyDescent="0.3">
      <c r="A460" s="99">
        <v>43102</v>
      </c>
      <c r="B460" s="103">
        <v>10442.2001953125</v>
      </c>
    </row>
    <row r="461" spans="1:2" x14ac:dyDescent="0.3">
      <c r="A461" s="99">
        <v>43103</v>
      </c>
      <c r="B461" s="103">
        <v>10443.2001953125</v>
      </c>
    </row>
    <row r="462" spans="1:2" x14ac:dyDescent="0.3">
      <c r="A462" s="99">
        <v>43104</v>
      </c>
      <c r="B462" s="103">
        <v>10504.7998046875</v>
      </c>
    </row>
    <row r="463" spans="1:2" x14ac:dyDescent="0.3">
      <c r="A463" s="99">
        <v>43105</v>
      </c>
      <c r="B463" s="103">
        <v>10558.849609375</v>
      </c>
    </row>
    <row r="464" spans="1:2" x14ac:dyDescent="0.3">
      <c r="A464" s="99">
        <v>43108</v>
      </c>
      <c r="B464" s="103">
        <v>10623.599609375</v>
      </c>
    </row>
    <row r="465" spans="1:2" x14ac:dyDescent="0.3">
      <c r="A465" s="99">
        <v>43109</v>
      </c>
      <c r="B465" s="103">
        <v>10637</v>
      </c>
    </row>
    <row r="466" spans="1:2" x14ac:dyDescent="0.3">
      <c r="A466" s="99">
        <v>43110</v>
      </c>
      <c r="B466" s="103">
        <v>10632.2001953125</v>
      </c>
    </row>
    <row r="467" spans="1:2" x14ac:dyDescent="0.3">
      <c r="A467" s="99">
        <v>43111</v>
      </c>
      <c r="B467" s="103">
        <v>10651.2001953125</v>
      </c>
    </row>
    <row r="468" spans="1:2" x14ac:dyDescent="0.3">
      <c r="A468" s="99">
        <v>43112</v>
      </c>
      <c r="B468" s="103">
        <v>10681.25</v>
      </c>
    </row>
    <row r="469" spans="1:2" x14ac:dyDescent="0.3">
      <c r="A469" s="99">
        <v>43115</v>
      </c>
      <c r="B469" s="103">
        <v>10741.5498046875</v>
      </c>
    </row>
    <row r="470" spans="1:2" x14ac:dyDescent="0.3">
      <c r="A470" s="99">
        <v>43116</v>
      </c>
      <c r="B470" s="103">
        <v>10700.4501953125</v>
      </c>
    </row>
    <row r="471" spans="1:2" x14ac:dyDescent="0.3">
      <c r="A471" s="99">
        <v>43117</v>
      </c>
      <c r="B471" s="103">
        <v>10788.5498046875</v>
      </c>
    </row>
    <row r="472" spans="1:2" x14ac:dyDescent="0.3">
      <c r="A472" s="99">
        <v>43118</v>
      </c>
      <c r="B472" s="103">
        <v>10817</v>
      </c>
    </row>
    <row r="473" spans="1:2" x14ac:dyDescent="0.3">
      <c r="A473" s="99">
        <v>43119</v>
      </c>
      <c r="B473" s="103">
        <v>10894.7001953125</v>
      </c>
    </row>
    <row r="474" spans="1:2" x14ac:dyDescent="0.3">
      <c r="A474" s="99">
        <v>43122</v>
      </c>
      <c r="B474" s="103">
        <v>10966.2001953125</v>
      </c>
    </row>
    <row r="475" spans="1:2" x14ac:dyDescent="0.3">
      <c r="A475" s="99">
        <v>43123</v>
      </c>
      <c r="B475" s="103">
        <v>11083.7001953125</v>
      </c>
    </row>
    <row r="476" spans="1:2" x14ac:dyDescent="0.3">
      <c r="A476" s="99">
        <v>43124</v>
      </c>
      <c r="B476" s="103">
        <v>11086</v>
      </c>
    </row>
    <row r="477" spans="1:2" x14ac:dyDescent="0.3">
      <c r="A477" s="99">
        <v>43125</v>
      </c>
      <c r="B477" s="103">
        <v>11069.650390625</v>
      </c>
    </row>
    <row r="478" spans="1:2" x14ac:dyDescent="0.3">
      <c r="A478" s="99">
        <v>43129</v>
      </c>
      <c r="B478" s="103">
        <v>11130.400390625</v>
      </c>
    </row>
    <row r="479" spans="1:2" x14ac:dyDescent="0.3">
      <c r="A479" s="99">
        <v>43130</v>
      </c>
      <c r="B479" s="103">
        <v>11049.650390625</v>
      </c>
    </row>
    <row r="480" spans="1:2" x14ac:dyDescent="0.3">
      <c r="A480" s="99">
        <v>43131</v>
      </c>
      <c r="B480" s="103">
        <v>11027.7001953125</v>
      </c>
    </row>
    <row r="481" spans="1:2" x14ac:dyDescent="0.3">
      <c r="A481" s="99">
        <v>43132</v>
      </c>
      <c r="B481" s="103">
        <v>11016.900390625</v>
      </c>
    </row>
    <row r="482" spans="1:2" x14ac:dyDescent="0.3">
      <c r="A482" s="99">
        <v>43133</v>
      </c>
      <c r="B482" s="103">
        <v>10760.599609375</v>
      </c>
    </row>
    <row r="483" spans="1:2" x14ac:dyDescent="0.3">
      <c r="A483" s="99">
        <v>43136</v>
      </c>
      <c r="B483" s="103">
        <v>10666.5498046875</v>
      </c>
    </row>
    <row r="484" spans="1:2" x14ac:dyDescent="0.3">
      <c r="A484" s="99">
        <v>43137</v>
      </c>
      <c r="B484" s="103">
        <v>10498.25</v>
      </c>
    </row>
    <row r="485" spans="1:2" x14ac:dyDescent="0.3">
      <c r="A485" s="99">
        <v>43138</v>
      </c>
      <c r="B485" s="103">
        <v>10476.7001953125</v>
      </c>
    </row>
    <row r="486" spans="1:2" x14ac:dyDescent="0.3">
      <c r="A486" s="99">
        <v>43139</v>
      </c>
      <c r="B486" s="103">
        <v>10576.849609375</v>
      </c>
    </row>
    <row r="487" spans="1:2" x14ac:dyDescent="0.3">
      <c r="A487" s="99">
        <v>43140</v>
      </c>
      <c r="B487" s="103">
        <v>10454.9501953125</v>
      </c>
    </row>
    <row r="488" spans="1:2" x14ac:dyDescent="0.3">
      <c r="A488" s="99">
        <v>43143</v>
      </c>
      <c r="B488" s="103">
        <v>10539.75</v>
      </c>
    </row>
    <row r="489" spans="1:2" x14ac:dyDescent="0.3">
      <c r="A489" s="99">
        <v>43145</v>
      </c>
      <c r="B489" s="103">
        <v>10500.900390625</v>
      </c>
    </row>
    <row r="490" spans="1:2" x14ac:dyDescent="0.3">
      <c r="A490" s="99">
        <v>43146</v>
      </c>
      <c r="B490" s="103">
        <v>10545.5</v>
      </c>
    </row>
    <row r="491" spans="1:2" x14ac:dyDescent="0.3">
      <c r="A491" s="99">
        <v>43147</v>
      </c>
      <c r="B491" s="103">
        <v>10452.2998046875</v>
      </c>
    </row>
    <row r="492" spans="1:2" x14ac:dyDescent="0.3">
      <c r="A492" s="99">
        <v>43150</v>
      </c>
      <c r="B492" s="103">
        <v>10378.400390625</v>
      </c>
    </row>
    <row r="493" spans="1:2" x14ac:dyDescent="0.3">
      <c r="A493" s="99">
        <v>43151</v>
      </c>
      <c r="B493" s="103">
        <v>10360.400390625</v>
      </c>
    </row>
    <row r="494" spans="1:2" x14ac:dyDescent="0.3">
      <c r="A494" s="99">
        <v>43152</v>
      </c>
      <c r="B494" s="103">
        <v>10397.4501953125</v>
      </c>
    </row>
    <row r="495" spans="1:2" x14ac:dyDescent="0.3">
      <c r="A495" s="99">
        <v>43153</v>
      </c>
      <c r="B495" s="103">
        <v>10382.7001953125</v>
      </c>
    </row>
    <row r="496" spans="1:2" x14ac:dyDescent="0.3">
      <c r="A496" s="99">
        <v>43154</v>
      </c>
      <c r="B496" s="103">
        <v>10491.0498046875</v>
      </c>
    </row>
    <row r="497" spans="1:2" x14ac:dyDescent="0.3">
      <c r="A497" s="99">
        <v>43157</v>
      </c>
      <c r="B497" s="103">
        <v>10582.599609375</v>
      </c>
    </row>
    <row r="498" spans="1:2" x14ac:dyDescent="0.3">
      <c r="A498" s="99">
        <v>43158</v>
      </c>
      <c r="B498" s="103">
        <v>10554.2998046875</v>
      </c>
    </row>
    <row r="499" spans="1:2" x14ac:dyDescent="0.3">
      <c r="A499" s="99">
        <v>43159</v>
      </c>
      <c r="B499" s="103">
        <v>10492.849609375</v>
      </c>
    </row>
    <row r="500" spans="1:2" x14ac:dyDescent="0.3">
      <c r="A500" s="99">
        <v>43160</v>
      </c>
      <c r="B500" s="103">
        <v>10458.349609375</v>
      </c>
    </row>
    <row r="501" spans="1:2" x14ac:dyDescent="0.3">
      <c r="A501" s="99">
        <v>43164</v>
      </c>
      <c r="B501" s="103">
        <v>10358.849609375</v>
      </c>
    </row>
    <row r="502" spans="1:2" x14ac:dyDescent="0.3">
      <c r="A502" s="99">
        <v>43165</v>
      </c>
      <c r="B502" s="103">
        <v>10249.25</v>
      </c>
    </row>
    <row r="503" spans="1:2" x14ac:dyDescent="0.3">
      <c r="A503" s="99">
        <v>43166</v>
      </c>
      <c r="B503" s="103">
        <v>10154.2001953125</v>
      </c>
    </row>
    <row r="504" spans="1:2" x14ac:dyDescent="0.3">
      <c r="A504" s="99">
        <v>43167</v>
      </c>
      <c r="B504" s="103">
        <v>10242.650390625</v>
      </c>
    </row>
    <row r="505" spans="1:2" x14ac:dyDescent="0.3">
      <c r="A505" s="99">
        <v>43168</v>
      </c>
      <c r="B505" s="103">
        <v>10226.849609375</v>
      </c>
    </row>
    <row r="506" spans="1:2" x14ac:dyDescent="0.3">
      <c r="A506" s="99">
        <v>43171</v>
      </c>
      <c r="B506" s="103">
        <v>10421.400390625</v>
      </c>
    </row>
    <row r="507" spans="1:2" x14ac:dyDescent="0.3">
      <c r="A507" s="99">
        <v>43172</v>
      </c>
      <c r="B507" s="103">
        <v>10426.849609375</v>
      </c>
    </row>
    <row r="508" spans="1:2" x14ac:dyDescent="0.3">
      <c r="A508" s="99">
        <v>43173</v>
      </c>
      <c r="B508" s="103">
        <v>10410.900390625</v>
      </c>
    </row>
    <row r="509" spans="1:2" x14ac:dyDescent="0.3">
      <c r="A509" s="99">
        <v>43174</v>
      </c>
      <c r="B509" s="103">
        <v>10360.150390625</v>
      </c>
    </row>
    <row r="510" spans="1:2" x14ac:dyDescent="0.3">
      <c r="A510" s="99">
        <v>43175</v>
      </c>
      <c r="B510" s="103">
        <v>10195.150390625</v>
      </c>
    </row>
    <row r="511" spans="1:2" x14ac:dyDescent="0.3">
      <c r="A511" s="99">
        <v>43178</v>
      </c>
      <c r="B511" s="103">
        <v>10094.25</v>
      </c>
    </row>
    <row r="512" spans="1:2" x14ac:dyDescent="0.3">
      <c r="A512" s="99">
        <v>43179</v>
      </c>
      <c r="B512" s="103">
        <v>10124.349609375</v>
      </c>
    </row>
    <row r="513" spans="1:2" x14ac:dyDescent="0.3">
      <c r="A513" s="99">
        <v>43180</v>
      </c>
      <c r="B513" s="103">
        <v>10155.25</v>
      </c>
    </row>
    <row r="514" spans="1:2" x14ac:dyDescent="0.3">
      <c r="A514" s="99">
        <v>43181</v>
      </c>
      <c r="B514" s="103">
        <v>10114.75</v>
      </c>
    </row>
    <row r="515" spans="1:2" x14ac:dyDescent="0.3">
      <c r="A515" s="99">
        <v>43182</v>
      </c>
      <c r="B515" s="103">
        <v>9998.0498046875</v>
      </c>
    </row>
    <row r="516" spans="1:2" x14ac:dyDescent="0.3">
      <c r="A516" s="99">
        <v>43185</v>
      </c>
      <c r="B516" s="103">
        <v>10130.650390625</v>
      </c>
    </row>
    <row r="517" spans="1:2" x14ac:dyDescent="0.3">
      <c r="A517" s="99">
        <v>43186</v>
      </c>
      <c r="B517" s="103">
        <v>10184.150390625</v>
      </c>
    </row>
    <row r="518" spans="1:2" x14ac:dyDescent="0.3">
      <c r="A518" s="99">
        <v>43187</v>
      </c>
      <c r="B518" s="103">
        <v>10113.7001953125</v>
      </c>
    </row>
    <row r="519" spans="1:2" x14ac:dyDescent="0.3">
      <c r="A519" s="99">
        <v>43192</v>
      </c>
      <c r="B519" s="103">
        <v>10211.7998046875</v>
      </c>
    </row>
    <row r="520" spans="1:2" x14ac:dyDescent="0.3">
      <c r="A520" s="99">
        <v>43193</v>
      </c>
      <c r="B520" s="103">
        <v>10245</v>
      </c>
    </row>
    <row r="521" spans="1:2" x14ac:dyDescent="0.3">
      <c r="A521" s="99">
        <v>43194</v>
      </c>
      <c r="B521" s="103">
        <v>10128.400390625</v>
      </c>
    </row>
    <row r="522" spans="1:2" x14ac:dyDescent="0.3">
      <c r="A522" s="99">
        <v>43195</v>
      </c>
      <c r="B522" s="103">
        <v>10325.150390625</v>
      </c>
    </row>
    <row r="523" spans="1:2" x14ac:dyDescent="0.3">
      <c r="A523" s="99">
        <v>43196</v>
      </c>
      <c r="B523" s="103">
        <v>10331.599609375</v>
      </c>
    </row>
    <row r="524" spans="1:2" x14ac:dyDescent="0.3">
      <c r="A524" s="99">
        <v>43199</v>
      </c>
      <c r="B524" s="103">
        <v>10379.349609375</v>
      </c>
    </row>
    <row r="525" spans="1:2" x14ac:dyDescent="0.3">
      <c r="A525" s="99">
        <v>43200</v>
      </c>
      <c r="B525" s="103">
        <v>10402.25</v>
      </c>
    </row>
    <row r="526" spans="1:2" x14ac:dyDescent="0.3">
      <c r="A526" s="99">
        <v>43201</v>
      </c>
      <c r="B526" s="103">
        <v>10417.150390625</v>
      </c>
    </row>
    <row r="527" spans="1:2" x14ac:dyDescent="0.3">
      <c r="A527" s="99">
        <v>43202</v>
      </c>
      <c r="B527" s="103">
        <v>10458.650390625</v>
      </c>
    </row>
    <row r="528" spans="1:2" x14ac:dyDescent="0.3">
      <c r="A528" s="99">
        <v>43203</v>
      </c>
      <c r="B528" s="103">
        <v>10480.599609375</v>
      </c>
    </row>
    <row r="529" spans="1:2" x14ac:dyDescent="0.3">
      <c r="A529" s="99">
        <v>43206</v>
      </c>
      <c r="B529" s="103">
        <v>10528.349609375</v>
      </c>
    </row>
    <row r="530" spans="1:2" x14ac:dyDescent="0.3">
      <c r="A530" s="99">
        <v>43207</v>
      </c>
      <c r="B530" s="103">
        <v>10548.7001953125</v>
      </c>
    </row>
    <row r="531" spans="1:2" x14ac:dyDescent="0.3">
      <c r="A531" s="99">
        <v>43208</v>
      </c>
      <c r="B531" s="103">
        <v>10526.2001953125</v>
      </c>
    </row>
    <row r="532" spans="1:2" x14ac:dyDescent="0.3">
      <c r="A532" s="99">
        <v>43209</v>
      </c>
      <c r="B532" s="103">
        <v>10565.2998046875</v>
      </c>
    </row>
    <row r="533" spans="1:2" x14ac:dyDescent="0.3">
      <c r="A533" s="99">
        <v>43210</v>
      </c>
      <c r="B533" s="103">
        <v>10564.0498046875</v>
      </c>
    </row>
    <row r="534" spans="1:2" x14ac:dyDescent="0.3">
      <c r="A534" s="99">
        <v>43213</v>
      </c>
      <c r="B534" s="103">
        <v>10584.7001953125</v>
      </c>
    </row>
    <row r="535" spans="1:2" x14ac:dyDescent="0.3">
      <c r="A535" s="99">
        <v>43214</v>
      </c>
      <c r="B535" s="103">
        <v>10614.349609375</v>
      </c>
    </row>
    <row r="536" spans="1:2" x14ac:dyDescent="0.3">
      <c r="A536" s="99">
        <v>43215</v>
      </c>
      <c r="B536" s="103">
        <v>10570.5498046875</v>
      </c>
    </row>
    <row r="537" spans="1:2" x14ac:dyDescent="0.3">
      <c r="A537" s="99">
        <v>43216</v>
      </c>
      <c r="B537" s="103">
        <v>10617.7998046875</v>
      </c>
    </row>
    <row r="538" spans="1:2" x14ac:dyDescent="0.3">
      <c r="A538" s="99">
        <v>43217</v>
      </c>
      <c r="B538" s="103">
        <v>10692.2998046875</v>
      </c>
    </row>
    <row r="539" spans="1:2" x14ac:dyDescent="0.3">
      <c r="A539" s="99">
        <v>43220</v>
      </c>
      <c r="B539" s="103">
        <v>10739.349609375</v>
      </c>
    </row>
    <row r="540" spans="1:2" x14ac:dyDescent="0.3">
      <c r="A540" s="99">
        <v>43222</v>
      </c>
      <c r="B540" s="103">
        <v>10718.0498046875</v>
      </c>
    </row>
    <row r="541" spans="1:2" x14ac:dyDescent="0.3">
      <c r="A541" s="99">
        <v>43223</v>
      </c>
      <c r="B541" s="103">
        <v>10679.650390625</v>
      </c>
    </row>
    <row r="542" spans="1:2" x14ac:dyDescent="0.3">
      <c r="A542" s="99">
        <v>43224</v>
      </c>
      <c r="B542" s="103">
        <v>10618.25</v>
      </c>
    </row>
    <row r="543" spans="1:2" x14ac:dyDescent="0.3">
      <c r="A543" s="99">
        <v>43227</v>
      </c>
      <c r="B543" s="103">
        <v>10715.5</v>
      </c>
    </row>
    <row r="544" spans="1:2" x14ac:dyDescent="0.3">
      <c r="A544" s="99">
        <v>43228</v>
      </c>
      <c r="B544" s="103">
        <v>10717.7998046875</v>
      </c>
    </row>
    <row r="545" spans="1:2" x14ac:dyDescent="0.3">
      <c r="A545" s="99">
        <v>43229</v>
      </c>
      <c r="B545" s="103">
        <v>10741.7001953125</v>
      </c>
    </row>
    <row r="546" spans="1:2" x14ac:dyDescent="0.3">
      <c r="A546" s="99">
        <v>43230</v>
      </c>
      <c r="B546" s="103">
        <v>10716.5498046875</v>
      </c>
    </row>
    <row r="547" spans="1:2" x14ac:dyDescent="0.3">
      <c r="A547" s="99">
        <v>43231</v>
      </c>
      <c r="B547" s="103">
        <v>10806.5</v>
      </c>
    </row>
    <row r="548" spans="1:2" x14ac:dyDescent="0.3">
      <c r="A548" s="99">
        <v>43234</v>
      </c>
      <c r="B548" s="103">
        <v>10806.599609375</v>
      </c>
    </row>
    <row r="549" spans="1:2" x14ac:dyDescent="0.3">
      <c r="A549" s="99">
        <v>43235</v>
      </c>
      <c r="B549" s="103">
        <v>10801.849609375</v>
      </c>
    </row>
    <row r="550" spans="1:2" x14ac:dyDescent="0.3">
      <c r="A550" s="99">
        <v>43236</v>
      </c>
      <c r="B550" s="103">
        <v>10741.099609375</v>
      </c>
    </row>
    <row r="551" spans="1:2" x14ac:dyDescent="0.3">
      <c r="A551" s="99">
        <v>43237</v>
      </c>
      <c r="B551" s="103">
        <v>10682.7001953125</v>
      </c>
    </row>
    <row r="552" spans="1:2" x14ac:dyDescent="0.3">
      <c r="A552" s="99">
        <v>43238</v>
      </c>
      <c r="B552" s="103">
        <v>10596.400390625</v>
      </c>
    </row>
    <row r="553" spans="1:2" x14ac:dyDescent="0.3">
      <c r="A553" s="99">
        <v>43241</v>
      </c>
      <c r="B553" s="103">
        <v>10516.7001953125</v>
      </c>
    </row>
    <row r="554" spans="1:2" x14ac:dyDescent="0.3">
      <c r="A554" s="99">
        <v>43242</v>
      </c>
      <c r="B554" s="103">
        <v>10536.7001953125</v>
      </c>
    </row>
    <row r="555" spans="1:2" x14ac:dyDescent="0.3">
      <c r="A555" s="99">
        <v>43243</v>
      </c>
      <c r="B555" s="103">
        <v>10430.349609375</v>
      </c>
    </row>
    <row r="556" spans="1:2" x14ac:dyDescent="0.3">
      <c r="A556" s="99">
        <v>43244</v>
      </c>
      <c r="B556" s="103">
        <v>10513.849609375</v>
      </c>
    </row>
    <row r="557" spans="1:2" x14ac:dyDescent="0.3">
      <c r="A557" s="99">
        <v>43245</v>
      </c>
      <c r="B557" s="103">
        <v>10605.150390625</v>
      </c>
    </row>
    <row r="558" spans="1:2" x14ac:dyDescent="0.3">
      <c r="A558" s="99">
        <v>43248</v>
      </c>
      <c r="B558" s="103">
        <v>10688.650390625</v>
      </c>
    </row>
    <row r="559" spans="1:2" x14ac:dyDescent="0.3">
      <c r="A559" s="99">
        <v>43249</v>
      </c>
      <c r="B559" s="103">
        <v>10633.2998046875</v>
      </c>
    </row>
    <row r="560" spans="1:2" x14ac:dyDescent="0.3">
      <c r="A560" s="99">
        <v>43250</v>
      </c>
      <c r="B560" s="103">
        <v>10614.349609375</v>
      </c>
    </row>
    <row r="561" spans="1:2" x14ac:dyDescent="0.3">
      <c r="A561" s="99">
        <v>43251</v>
      </c>
      <c r="B561" s="103">
        <v>10736.150390625</v>
      </c>
    </row>
    <row r="562" spans="1:2" x14ac:dyDescent="0.3">
      <c r="A562" s="99">
        <v>43252</v>
      </c>
      <c r="B562" s="103">
        <v>10696.2001953125</v>
      </c>
    </row>
    <row r="563" spans="1:2" x14ac:dyDescent="0.3">
      <c r="A563" s="99">
        <v>43255</v>
      </c>
      <c r="B563" s="103">
        <v>10628.5</v>
      </c>
    </row>
    <row r="564" spans="1:2" x14ac:dyDescent="0.3">
      <c r="A564" s="99">
        <v>43256</v>
      </c>
      <c r="B564" s="103">
        <v>10593.150390625</v>
      </c>
    </row>
    <row r="565" spans="1:2" x14ac:dyDescent="0.3">
      <c r="A565" s="99">
        <v>43257</v>
      </c>
      <c r="B565" s="103">
        <v>10684.650390625</v>
      </c>
    </row>
    <row r="566" spans="1:2" x14ac:dyDescent="0.3">
      <c r="A566" s="99">
        <v>43258</v>
      </c>
      <c r="B566" s="103">
        <v>10768.349609375</v>
      </c>
    </row>
    <row r="567" spans="1:2" x14ac:dyDescent="0.3">
      <c r="A567" s="99">
        <v>43259</v>
      </c>
      <c r="B567" s="103">
        <v>10767.650390625</v>
      </c>
    </row>
    <row r="568" spans="1:2" x14ac:dyDescent="0.3">
      <c r="A568" s="99">
        <v>43262</v>
      </c>
      <c r="B568" s="103">
        <v>10786.9501953125</v>
      </c>
    </row>
    <row r="569" spans="1:2" x14ac:dyDescent="0.3">
      <c r="A569" s="99">
        <v>43263</v>
      </c>
      <c r="B569" s="103">
        <v>10842.849609375</v>
      </c>
    </row>
    <row r="570" spans="1:2" x14ac:dyDescent="0.3">
      <c r="A570" s="99">
        <v>43264</v>
      </c>
      <c r="B570" s="103">
        <v>10856.7001953125</v>
      </c>
    </row>
    <row r="571" spans="1:2" x14ac:dyDescent="0.3">
      <c r="A571" s="99">
        <v>43265</v>
      </c>
      <c r="B571" s="103">
        <v>10808.0498046875</v>
      </c>
    </row>
    <row r="572" spans="1:2" x14ac:dyDescent="0.3">
      <c r="A572" s="99">
        <v>43266</v>
      </c>
      <c r="B572" s="103">
        <v>10817.7001953125</v>
      </c>
    </row>
    <row r="573" spans="1:2" x14ac:dyDescent="0.3">
      <c r="A573" s="99">
        <v>43269</v>
      </c>
      <c r="B573" s="103">
        <v>10799.849609375</v>
      </c>
    </row>
    <row r="574" spans="1:2" x14ac:dyDescent="0.3">
      <c r="A574" s="99">
        <v>43270</v>
      </c>
      <c r="B574" s="103">
        <v>10710.4501953125</v>
      </c>
    </row>
    <row r="575" spans="1:2" x14ac:dyDescent="0.3">
      <c r="A575" s="99">
        <v>43271</v>
      </c>
      <c r="B575" s="103">
        <v>10772.0498046875</v>
      </c>
    </row>
    <row r="576" spans="1:2" x14ac:dyDescent="0.3">
      <c r="A576" s="99">
        <v>43272</v>
      </c>
      <c r="B576" s="103">
        <v>10741.099609375</v>
      </c>
    </row>
    <row r="577" spans="1:2" x14ac:dyDescent="0.3">
      <c r="A577" s="99">
        <v>43273</v>
      </c>
      <c r="B577" s="103">
        <v>10821.849609375</v>
      </c>
    </row>
    <row r="578" spans="1:2" x14ac:dyDescent="0.3">
      <c r="A578" s="99">
        <v>43276</v>
      </c>
      <c r="B578" s="103">
        <v>10762.4501953125</v>
      </c>
    </row>
    <row r="579" spans="1:2" x14ac:dyDescent="0.3">
      <c r="A579" s="99">
        <v>43277</v>
      </c>
      <c r="B579" s="103">
        <v>10769.150390625</v>
      </c>
    </row>
    <row r="580" spans="1:2" x14ac:dyDescent="0.3">
      <c r="A580" s="99">
        <v>43278</v>
      </c>
      <c r="B580" s="103">
        <v>10671.400390625</v>
      </c>
    </row>
    <row r="581" spans="1:2" x14ac:dyDescent="0.3">
      <c r="A581" s="99">
        <v>43279</v>
      </c>
      <c r="B581" s="103">
        <v>10589.099609375</v>
      </c>
    </row>
    <row r="582" spans="1:2" x14ac:dyDescent="0.3">
      <c r="A582" s="99">
        <v>43280</v>
      </c>
      <c r="B582" s="103">
        <v>10714.2998046875</v>
      </c>
    </row>
    <row r="583" spans="1:2" x14ac:dyDescent="0.3">
      <c r="A583" s="99">
        <v>43283</v>
      </c>
      <c r="B583" s="103">
        <v>10657.2998046875</v>
      </c>
    </row>
    <row r="584" spans="1:2" x14ac:dyDescent="0.3">
      <c r="A584" s="99">
        <v>43284</v>
      </c>
      <c r="B584" s="103">
        <v>10699.900390625</v>
      </c>
    </row>
    <row r="585" spans="1:2" x14ac:dyDescent="0.3">
      <c r="A585" s="99">
        <v>43285</v>
      </c>
      <c r="B585" s="103">
        <v>10769.900390625</v>
      </c>
    </row>
    <row r="586" spans="1:2" x14ac:dyDescent="0.3">
      <c r="A586" s="99">
        <v>43286</v>
      </c>
      <c r="B586" s="103">
        <v>10749.75</v>
      </c>
    </row>
    <row r="587" spans="1:2" x14ac:dyDescent="0.3">
      <c r="A587" s="99">
        <v>43287</v>
      </c>
      <c r="B587" s="103">
        <v>10772.650390625</v>
      </c>
    </row>
    <row r="588" spans="1:2" x14ac:dyDescent="0.3">
      <c r="A588" s="99">
        <v>43290</v>
      </c>
      <c r="B588" s="103">
        <v>10852.900390625</v>
      </c>
    </row>
    <row r="589" spans="1:2" x14ac:dyDescent="0.3">
      <c r="A589" s="99">
        <v>43291</v>
      </c>
      <c r="B589" s="103">
        <v>10947.25</v>
      </c>
    </row>
    <row r="590" spans="1:2" x14ac:dyDescent="0.3">
      <c r="A590" s="99">
        <v>43292</v>
      </c>
      <c r="B590" s="103">
        <v>10948.2998046875</v>
      </c>
    </row>
    <row r="591" spans="1:2" x14ac:dyDescent="0.3">
      <c r="A591" s="99">
        <v>43293</v>
      </c>
      <c r="B591" s="103">
        <v>11023.2001953125</v>
      </c>
    </row>
    <row r="592" spans="1:2" x14ac:dyDescent="0.3">
      <c r="A592" s="99">
        <v>43294</v>
      </c>
      <c r="B592" s="103">
        <v>11018.900390625</v>
      </c>
    </row>
    <row r="593" spans="1:2" x14ac:dyDescent="0.3">
      <c r="A593" s="99">
        <v>43297</v>
      </c>
      <c r="B593" s="103">
        <v>10936.849609375</v>
      </c>
    </row>
    <row r="594" spans="1:2" x14ac:dyDescent="0.3">
      <c r="A594" s="99">
        <v>43298</v>
      </c>
      <c r="B594" s="103">
        <v>11008.0498046875</v>
      </c>
    </row>
    <row r="595" spans="1:2" x14ac:dyDescent="0.3">
      <c r="A595" s="99">
        <v>43299</v>
      </c>
      <c r="B595" s="103">
        <v>10980.4501953125</v>
      </c>
    </row>
    <row r="596" spans="1:2" x14ac:dyDescent="0.3">
      <c r="A596" s="99">
        <v>43300</v>
      </c>
      <c r="B596" s="103">
        <v>10957.099609375</v>
      </c>
    </row>
    <row r="597" spans="1:2" x14ac:dyDescent="0.3">
      <c r="A597" s="99">
        <v>43301</v>
      </c>
      <c r="B597" s="103">
        <v>11010.2001953125</v>
      </c>
    </row>
    <row r="598" spans="1:2" x14ac:dyDescent="0.3">
      <c r="A598" s="99">
        <v>43304</v>
      </c>
      <c r="B598" s="103">
        <v>11084.75</v>
      </c>
    </row>
    <row r="599" spans="1:2" x14ac:dyDescent="0.3">
      <c r="A599" s="99">
        <v>43305</v>
      </c>
      <c r="B599" s="103">
        <v>11134.2998046875</v>
      </c>
    </row>
    <row r="600" spans="1:2" x14ac:dyDescent="0.3">
      <c r="A600" s="99">
        <v>43306</v>
      </c>
      <c r="B600" s="103">
        <v>11132</v>
      </c>
    </row>
    <row r="601" spans="1:2" x14ac:dyDescent="0.3">
      <c r="A601" s="99">
        <v>43307</v>
      </c>
      <c r="B601" s="103">
        <v>11167.2998046875</v>
      </c>
    </row>
    <row r="602" spans="1:2" x14ac:dyDescent="0.3">
      <c r="A602" s="99">
        <v>43308</v>
      </c>
      <c r="B602" s="103">
        <v>11278.349609375</v>
      </c>
    </row>
    <row r="603" spans="1:2" x14ac:dyDescent="0.3">
      <c r="A603" s="99">
        <v>43311</v>
      </c>
      <c r="B603" s="103">
        <v>11319.5498046875</v>
      </c>
    </row>
    <row r="604" spans="1:2" x14ac:dyDescent="0.3">
      <c r="A604" s="99">
        <v>43312</v>
      </c>
      <c r="B604" s="103">
        <v>11356.5</v>
      </c>
    </row>
    <row r="605" spans="1:2" x14ac:dyDescent="0.3">
      <c r="A605" s="99">
        <v>43313</v>
      </c>
      <c r="B605" s="103">
        <v>11346.2001953125</v>
      </c>
    </row>
    <row r="606" spans="1:2" x14ac:dyDescent="0.3">
      <c r="A606" s="99">
        <v>43314</v>
      </c>
      <c r="B606" s="103">
        <v>11244.7001953125</v>
      </c>
    </row>
    <row r="607" spans="1:2" x14ac:dyDescent="0.3">
      <c r="A607" s="99">
        <v>43315</v>
      </c>
      <c r="B607" s="103">
        <v>11360.7998046875</v>
      </c>
    </row>
    <row r="608" spans="1:2" x14ac:dyDescent="0.3">
      <c r="A608" s="99">
        <v>43318</v>
      </c>
      <c r="B608" s="103">
        <v>11387.099609375</v>
      </c>
    </row>
    <row r="609" spans="1:2" x14ac:dyDescent="0.3">
      <c r="A609" s="99">
        <v>43319</v>
      </c>
      <c r="B609" s="103">
        <v>11389.4501953125</v>
      </c>
    </row>
    <row r="610" spans="1:2" x14ac:dyDescent="0.3">
      <c r="A610" s="99">
        <v>43320</v>
      </c>
      <c r="B610" s="103">
        <v>11450</v>
      </c>
    </row>
    <row r="611" spans="1:2" x14ac:dyDescent="0.3">
      <c r="A611" s="99">
        <v>43321</v>
      </c>
      <c r="B611" s="103">
        <v>11470.7001953125</v>
      </c>
    </row>
    <row r="612" spans="1:2" x14ac:dyDescent="0.3">
      <c r="A612" s="99">
        <v>43322</v>
      </c>
      <c r="B612" s="103">
        <v>11429.5</v>
      </c>
    </row>
    <row r="613" spans="1:2" x14ac:dyDescent="0.3">
      <c r="A613" s="99">
        <v>43325</v>
      </c>
      <c r="B613" s="103">
        <v>11355.75</v>
      </c>
    </row>
    <row r="614" spans="1:2" x14ac:dyDescent="0.3">
      <c r="A614" s="99">
        <v>43326</v>
      </c>
      <c r="B614" s="103">
        <v>11435.099609375</v>
      </c>
    </row>
    <row r="615" spans="1:2" x14ac:dyDescent="0.3">
      <c r="A615" s="99">
        <v>43328</v>
      </c>
      <c r="B615" s="103">
        <v>11385.0498046875</v>
      </c>
    </row>
    <row r="616" spans="1:2" x14ac:dyDescent="0.3">
      <c r="A616" s="99">
        <v>43329</v>
      </c>
      <c r="B616" s="103">
        <v>11470.75</v>
      </c>
    </row>
    <row r="617" spans="1:2" x14ac:dyDescent="0.3">
      <c r="A617" s="99">
        <v>43332</v>
      </c>
      <c r="B617" s="103">
        <v>11551.75</v>
      </c>
    </row>
    <row r="618" spans="1:2" x14ac:dyDescent="0.3">
      <c r="A618" s="99">
        <v>43333</v>
      </c>
      <c r="B618" s="103">
        <v>11570.900390625</v>
      </c>
    </row>
    <row r="619" spans="1:2" x14ac:dyDescent="0.3">
      <c r="A619" s="99">
        <v>43335</v>
      </c>
      <c r="B619" s="103">
        <v>11582.75</v>
      </c>
    </row>
    <row r="620" spans="1:2" x14ac:dyDescent="0.3">
      <c r="A620" s="99">
        <v>43336</v>
      </c>
      <c r="B620" s="103">
        <v>11557.099609375</v>
      </c>
    </row>
    <row r="621" spans="1:2" x14ac:dyDescent="0.3">
      <c r="A621" s="99">
        <v>43339</v>
      </c>
      <c r="B621" s="103">
        <v>11691.9501953125</v>
      </c>
    </row>
    <row r="622" spans="1:2" x14ac:dyDescent="0.3">
      <c r="A622" s="99">
        <v>43340</v>
      </c>
      <c r="B622" s="103">
        <v>11738.5</v>
      </c>
    </row>
    <row r="623" spans="1:2" x14ac:dyDescent="0.3">
      <c r="A623" s="99">
        <v>43341</v>
      </c>
      <c r="B623" s="103">
        <v>11691.900390625</v>
      </c>
    </row>
    <row r="624" spans="1:2" x14ac:dyDescent="0.3">
      <c r="A624" s="99">
        <v>43342</v>
      </c>
      <c r="B624" s="103">
        <v>11676.7998046875</v>
      </c>
    </row>
    <row r="625" spans="1:2" x14ac:dyDescent="0.3">
      <c r="A625" s="99">
        <v>43343</v>
      </c>
      <c r="B625" s="103">
        <v>11680.5</v>
      </c>
    </row>
    <row r="626" spans="1:2" x14ac:dyDescent="0.3">
      <c r="A626" s="99">
        <v>43346</v>
      </c>
      <c r="B626" s="103">
        <v>11582.349609375</v>
      </c>
    </row>
    <row r="627" spans="1:2" x14ac:dyDescent="0.3">
      <c r="A627" s="99">
        <v>43347</v>
      </c>
      <c r="B627" s="103">
        <v>11520.2998046875</v>
      </c>
    </row>
    <row r="628" spans="1:2" x14ac:dyDescent="0.3">
      <c r="A628" s="99">
        <v>43348</v>
      </c>
      <c r="B628" s="103">
        <v>11476.9501953125</v>
      </c>
    </row>
    <row r="629" spans="1:2" x14ac:dyDescent="0.3">
      <c r="A629" s="99">
        <v>43349</v>
      </c>
      <c r="B629" s="103">
        <v>11536.900390625</v>
      </c>
    </row>
    <row r="630" spans="1:2" x14ac:dyDescent="0.3">
      <c r="A630" s="99">
        <v>43350</v>
      </c>
      <c r="B630" s="103">
        <v>11589.099609375</v>
      </c>
    </row>
    <row r="631" spans="1:2" x14ac:dyDescent="0.3">
      <c r="A631" s="99">
        <v>43353</v>
      </c>
      <c r="B631" s="103">
        <v>11438.099609375</v>
      </c>
    </row>
    <row r="632" spans="1:2" x14ac:dyDescent="0.3">
      <c r="A632" s="99">
        <v>43354</v>
      </c>
      <c r="B632" s="103">
        <v>11287.5</v>
      </c>
    </row>
    <row r="633" spans="1:2" x14ac:dyDescent="0.3">
      <c r="A633" s="99">
        <v>43355</v>
      </c>
      <c r="B633" s="103">
        <v>11369.900390625</v>
      </c>
    </row>
    <row r="634" spans="1:2" x14ac:dyDescent="0.3">
      <c r="A634" s="99">
        <v>43357</v>
      </c>
      <c r="B634" s="103">
        <v>11515.2001953125</v>
      </c>
    </row>
    <row r="635" spans="1:2" x14ac:dyDescent="0.3">
      <c r="A635" s="99">
        <v>43360</v>
      </c>
      <c r="B635" s="103">
        <v>11377.75</v>
      </c>
    </row>
    <row r="636" spans="1:2" x14ac:dyDescent="0.3">
      <c r="A636" s="99">
        <v>43361</v>
      </c>
      <c r="B636" s="103">
        <v>11278.900390625</v>
      </c>
    </row>
    <row r="637" spans="1:2" x14ac:dyDescent="0.3">
      <c r="A637" s="99">
        <v>43362</v>
      </c>
      <c r="B637" s="103">
        <v>11234.349609375</v>
      </c>
    </row>
    <row r="638" spans="1:2" x14ac:dyDescent="0.3">
      <c r="A638" s="99">
        <v>43364</v>
      </c>
      <c r="B638" s="103">
        <v>11143.099609375</v>
      </c>
    </row>
    <row r="639" spans="1:2" x14ac:dyDescent="0.3">
      <c r="A639" s="99">
        <v>43367</v>
      </c>
      <c r="B639" s="103">
        <v>10967.400390625</v>
      </c>
    </row>
    <row r="640" spans="1:2" x14ac:dyDescent="0.3">
      <c r="A640" s="99">
        <v>43368</v>
      </c>
      <c r="B640" s="103">
        <v>11067.4501953125</v>
      </c>
    </row>
    <row r="641" spans="1:2" x14ac:dyDescent="0.3">
      <c r="A641" s="99">
        <v>43369</v>
      </c>
      <c r="B641" s="103">
        <v>11053.7998046875</v>
      </c>
    </row>
    <row r="642" spans="1:2" x14ac:dyDescent="0.3">
      <c r="A642" s="99">
        <v>43370</v>
      </c>
      <c r="B642" s="103">
        <v>10977.5498046875</v>
      </c>
    </row>
    <row r="643" spans="1:2" x14ac:dyDescent="0.3">
      <c r="A643" s="99">
        <v>43371</v>
      </c>
      <c r="B643" s="103">
        <v>10930.4501953125</v>
      </c>
    </row>
    <row r="644" spans="1:2" x14ac:dyDescent="0.3">
      <c r="A644" s="99">
        <v>43374</v>
      </c>
      <c r="B644" s="103">
        <v>11008.2998046875</v>
      </c>
    </row>
    <row r="645" spans="1:2" x14ac:dyDescent="0.3">
      <c r="A645" s="99">
        <v>43376</v>
      </c>
      <c r="B645" s="103">
        <v>10858.25</v>
      </c>
    </row>
    <row r="646" spans="1:2" x14ac:dyDescent="0.3">
      <c r="A646" s="99">
        <v>43377</v>
      </c>
      <c r="B646" s="103">
        <v>10599.25</v>
      </c>
    </row>
    <row r="647" spans="1:2" x14ac:dyDescent="0.3">
      <c r="A647" s="99">
        <v>43378</v>
      </c>
      <c r="B647" s="103">
        <v>10316.4501953125</v>
      </c>
    </row>
    <row r="648" spans="1:2" x14ac:dyDescent="0.3">
      <c r="A648" s="99">
        <v>43381</v>
      </c>
      <c r="B648" s="103">
        <v>10348.0498046875</v>
      </c>
    </row>
    <row r="649" spans="1:2" x14ac:dyDescent="0.3">
      <c r="A649" s="99">
        <v>43382</v>
      </c>
      <c r="B649" s="103">
        <v>10301.0498046875</v>
      </c>
    </row>
    <row r="650" spans="1:2" x14ac:dyDescent="0.3">
      <c r="A650" s="99">
        <v>43383</v>
      </c>
      <c r="B650" s="103">
        <v>10460.099609375</v>
      </c>
    </row>
    <row r="651" spans="1:2" x14ac:dyDescent="0.3">
      <c r="A651" s="99">
        <v>43384</v>
      </c>
      <c r="B651" s="103">
        <v>10234.650390625</v>
      </c>
    </row>
    <row r="652" spans="1:2" x14ac:dyDescent="0.3">
      <c r="A652" s="99">
        <v>43385</v>
      </c>
      <c r="B652" s="103">
        <v>10472.5</v>
      </c>
    </row>
    <row r="653" spans="1:2" x14ac:dyDescent="0.3">
      <c r="A653" s="99">
        <v>43388</v>
      </c>
      <c r="B653" s="103">
        <v>10512.5</v>
      </c>
    </row>
    <row r="654" spans="1:2" x14ac:dyDescent="0.3">
      <c r="A654" s="99">
        <v>43389</v>
      </c>
      <c r="B654" s="103">
        <v>10584.75</v>
      </c>
    </row>
    <row r="655" spans="1:2" x14ac:dyDescent="0.3">
      <c r="A655" s="99">
        <v>43390</v>
      </c>
      <c r="B655" s="103">
        <v>10453.0498046875</v>
      </c>
    </row>
    <row r="656" spans="1:2" x14ac:dyDescent="0.3">
      <c r="A656" s="99">
        <v>43392</v>
      </c>
      <c r="B656" s="103">
        <v>10303.5498046875</v>
      </c>
    </row>
    <row r="657" spans="1:2" x14ac:dyDescent="0.3">
      <c r="A657" s="99">
        <v>43395</v>
      </c>
      <c r="B657" s="103">
        <v>10245.25</v>
      </c>
    </row>
    <row r="658" spans="1:2" x14ac:dyDescent="0.3">
      <c r="A658" s="99">
        <v>43396</v>
      </c>
      <c r="B658" s="103">
        <v>10146.7998046875</v>
      </c>
    </row>
    <row r="659" spans="1:2" x14ac:dyDescent="0.3">
      <c r="A659" s="99">
        <v>43397</v>
      </c>
      <c r="B659" s="103">
        <v>10224.75</v>
      </c>
    </row>
    <row r="660" spans="1:2" x14ac:dyDescent="0.3">
      <c r="A660" s="99">
        <v>43398</v>
      </c>
      <c r="B660" s="103">
        <v>10124.900390625</v>
      </c>
    </row>
    <row r="661" spans="1:2" x14ac:dyDescent="0.3">
      <c r="A661" s="99">
        <v>43399</v>
      </c>
      <c r="B661" s="103">
        <v>10030</v>
      </c>
    </row>
    <row r="662" spans="1:2" x14ac:dyDescent="0.3">
      <c r="A662" s="99">
        <v>43402</v>
      </c>
      <c r="B662" s="103">
        <v>10250.849609375</v>
      </c>
    </row>
    <row r="663" spans="1:2" x14ac:dyDescent="0.3">
      <c r="A663" s="99">
        <v>43403</v>
      </c>
      <c r="B663" s="103">
        <v>10198.400390625</v>
      </c>
    </row>
    <row r="664" spans="1:2" x14ac:dyDescent="0.3">
      <c r="A664" s="99">
        <v>43404</v>
      </c>
      <c r="B664" s="103">
        <v>10386.599609375</v>
      </c>
    </row>
    <row r="665" spans="1:2" x14ac:dyDescent="0.3">
      <c r="A665" s="99">
        <v>43405</v>
      </c>
      <c r="B665" s="103">
        <v>10380.4501953125</v>
      </c>
    </row>
    <row r="666" spans="1:2" x14ac:dyDescent="0.3">
      <c r="A666" s="99">
        <v>43406</v>
      </c>
      <c r="B666" s="103">
        <v>10553</v>
      </c>
    </row>
    <row r="667" spans="1:2" x14ac:dyDescent="0.3">
      <c r="A667" s="99">
        <v>43409</v>
      </c>
      <c r="B667" s="103">
        <v>10524</v>
      </c>
    </row>
    <row r="668" spans="1:2" x14ac:dyDescent="0.3">
      <c r="A668" s="99">
        <v>43410</v>
      </c>
      <c r="B668" s="103">
        <v>10530</v>
      </c>
    </row>
    <row r="669" spans="1:2" x14ac:dyDescent="0.3">
      <c r="A669" s="99">
        <v>43411</v>
      </c>
      <c r="B669" s="103">
        <v>10598.400390625</v>
      </c>
    </row>
    <row r="670" spans="1:2" x14ac:dyDescent="0.3">
      <c r="A670" s="99">
        <v>43413</v>
      </c>
      <c r="B670" s="103">
        <v>10585.2001953125</v>
      </c>
    </row>
    <row r="671" spans="1:2" x14ac:dyDescent="0.3">
      <c r="A671" s="99">
        <v>43416</v>
      </c>
      <c r="B671" s="103">
        <v>10482.2001953125</v>
      </c>
    </row>
    <row r="672" spans="1:2" x14ac:dyDescent="0.3">
      <c r="A672" s="99">
        <v>43417</v>
      </c>
      <c r="B672" s="103">
        <v>10582.5</v>
      </c>
    </row>
    <row r="673" spans="1:2" x14ac:dyDescent="0.3">
      <c r="A673" s="99">
        <v>43418</v>
      </c>
      <c r="B673" s="103">
        <v>10576.2998046875</v>
      </c>
    </row>
    <row r="674" spans="1:2" x14ac:dyDescent="0.3">
      <c r="A674" s="99">
        <v>43419</v>
      </c>
      <c r="B674" s="103">
        <v>10616.7001953125</v>
      </c>
    </row>
    <row r="675" spans="1:2" x14ac:dyDescent="0.3">
      <c r="A675" s="99">
        <v>43420</v>
      </c>
      <c r="B675" s="103">
        <v>10682.2001953125</v>
      </c>
    </row>
    <row r="676" spans="1:2" x14ac:dyDescent="0.3">
      <c r="A676" s="99">
        <v>43423</v>
      </c>
      <c r="B676" s="103">
        <v>10763.400390625</v>
      </c>
    </row>
    <row r="677" spans="1:2" x14ac:dyDescent="0.3">
      <c r="A677" s="99">
        <v>43424</v>
      </c>
      <c r="B677" s="103">
        <v>10656.2001953125</v>
      </c>
    </row>
    <row r="678" spans="1:2" x14ac:dyDescent="0.3">
      <c r="A678" s="99">
        <v>43425</v>
      </c>
      <c r="B678" s="103">
        <v>10600.0498046875</v>
      </c>
    </row>
    <row r="679" spans="1:2" x14ac:dyDescent="0.3">
      <c r="A679" s="99">
        <v>43426</v>
      </c>
      <c r="B679" s="103">
        <v>10526.75</v>
      </c>
    </row>
    <row r="680" spans="1:2" x14ac:dyDescent="0.3">
      <c r="A680" s="99">
        <v>43430</v>
      </c>
      <c r="B680" s="103">
        <v>10628.599609375</v>
      </c>
    </row>
    <row r="681" spans="1:2" x14ac:dyDescent="0.3">
      <c r="A681" s="99">
        <v>43431</v>
      </c>
      <c r="B681" s="103">
        <v>10685.599609375</v>
      </c>
    </row>
    <row r="682" spans="1:2" x14ac:dyDescent="0.3">
      <c r="A682" s="99">
        <v>43432</v>
      </c>
      <c r="B682" s="103">
        <v>10728.849609375</v>
      </c>
    </row>
    <row r="683" spans="1:2" x14ac:dyDescent="0.3">
      <c r="A683" s="99">
        <v>43433</v>
      </c>
      <c r="B683" s="103">
        <v>10858.7001953125</v>
      </c>
    </row>
    <row r="684" spans="1:2" x14ac:dyDescent="0.3">
      <c r="A684" s="99">
        <v>43434</v>
      </c>
      <c r="B684" s="103">
        <v>10876.75</v>
      </c>
    </row>
    <row r="685" spans="1:2" x14ac:dyDescent="0.3">
      <c r="A685" s="99">
        <v>43437</v>
      </c>
      <c r="B685" s="103">
        <v>10883.75</v>
      </c>
    </row>
    <row r="686" spans="1:2" x14ac:dyDescent="0.3">
      <c r="A686" s="99">
        <v>43438</v>
      </c>
      <c r="B686" s="103">
        <v>10869.5</v>
      </c>
    </row>
    <row r="687" spans="1:2" x14ac:dyDescent="0.3">
      <c r="A687" s="99">
        <v>43439</v>
      </c>
      <c r="B687" s="103">
        <v>10782.900390625</v>
      </c>
    </row>
    <row r="688" spans="1:2" x14ac:dyDescent="0.3">
      <c r="A688" s="99">
        <v>43440</v>
      </c>
      <c r="B688" s="103">
        <v>10601.150390625</v>
      </c>
    </row>
    <row r="689" spans="1:2" x14ac:dyDescent="0.3">
      <c r="A689" s="99">
        <v>43441</v>
      </c>
      <c r="B689" s="103">
        <v>10693.7001953125</v>
      </c>
    </row>
    <row r="690" spans="1:2" x14ac:dyDescent="0.3">
      <c r="A690" s="99">
        <v>43444</v>
      </c>
      <c r="B690" s="103">
        <v>10488.4501953125</v>
      </c>
    </row>
    <row r="691" spans="1:2" x14ac:dyDescent="0.3">
      <c r="A691" s="99">
        <v>43445</v>
      </c>
      <c r="B691" s="103">
        <v>10549.150390625</v>
      </c>
    </row>
    <row r="692" spans="1:2" x14ac:dyDescent="0.3">
      <c r="A692" s="99">
        <v>43446</v>
      </c>
      <c r="B692" s="103">
        <v>10737.599609375</v>
      </c>
    </row>
    <row r="693" spans="1:2" x14ac:dyDescent="0.3">
      <c r="A693" s="99">
        <v>43447</v>
      </c>
      <c r="B693" s="103">
        <v>10791.5498046875</v>
      </c>
    </row>
    <row r="694" spans="1:2" x14ac:dyDescent="0.3">
      <c r="A694" s="99">
        <v>43448</v>
      </c>
      <c r="B694" s="103">
        <v>10805.4501953125</v>
      </c>
    </row>
    <row r="695" spans="1:2" x14ac:dyDescent="0.3">
      <c r="A695" s="99">
        <v>43451</v>
      </c>
      <c r="B695" s="103">
        <v>10888.349609375</v>
      </c>
    </row>
    <row r="696" spans="1:2" x14ac:dyDescent="0.3">
      <c r="A696" s="99">
        <v>43452</v>
      </c>
      <c r="B696" s="103">
        <v>10908.7001953125</v>
      </c>
    </row>
    <row r="697" spans="1:2" x14ac:dyDescent="0.3">
      <c r="A697" s="99">
        <v>43453</v>
      </c>
      <c r="B697" s="103">
        <v>10967.2998046875</v>
      </c>
    </row>
    <row r="698" spans="1:2" x14ac:dyDescent="0.3">
      <c r="A698" s="99">
        <v>43454</v>
      </c>
      <c r="B698" s="103">
        <v>10951.7001953125</v>
      </c>
    </row>
    <row r="699" spans="1:2" x14ac:dyDescent="0.3">
      <c r="A699" s="99">
        <v>43455</v>
      </c>
      <c r="B699" s="103">
        <v>10754</v>
      </c>
    </row>
    <row r="700" spans="1:2" x14ac:dyDescent="0.3">
      <c r="A700" s="99">
        <v>43458</v>
      </c>
      <c r="B700" s="103">
        <v>10663.5</v>
      </c>
    </row>
    <row r="701" spans="1:2" x14ac:dyDescent="0.3">
      <c r="A701" s="99">
        <v>43460</v>
      </c>
      <c r="B701" s="103">
        <v>10729.849609375</v>
      </c>
    </row>
    <row r="702" spans="1:2" x14ac:dyDescent="0.3">
      <c r="A702" s="99">
        <v>43461</v>
      </c>
      <c r="B702" s="103">
        <v>10779.7998046875</v>
      </c>
    </row>
    <row r="703" spans="1:2" x14ac:dyDescent="0.3">
      <c r="A703" s="99">
        <v>43462</v>
      </c>
      <c r="B703" s="103">
        <v>10859.900390625</v>
      </c>
    </row>
    <row r="704" spans="1:2" x14ac:dyDescent="0.3">
      <c r="A704" s="99">
        <v>43465</v>
      </c>
      <c r="B704" s="103">
        <v>10862.5498046875</v>
      </c>
    </row>
    <row r="705" spans="1:2" x14ac:dyDescent="0.3">
      <c r="A705" s="99">
        <v>43467</v>
      </c>
      <c r="B705" s="103">
        <v>10792.5</v>
      </c>
    </row>
    <row r="706" spans="1:2" x14ac:dyDescent="0.3">
      <c r="A706" s="99">
        <v>43468</v>
      </c>
      <c r="B706" s="103">
        <v>10672.25</v>
      </c>
    </row>
    <row r="707" spans="1:2" x14ac:dyDescent="0.3">
      <c r="A707" s="99">
        <v>43469</v>
      </c>
      <c r="B707" s="103">
        <v>10727.349609375</v>
      </c>
    </row>
    <row r="708" spans="1:2" x14ac:dyDescent="0.3">
      <c r="A708" s="99">
        <v>43472</v>
      </c>
      <c r="B708" s="103">
        <v>10771.7998046875</v>
      </c>
    </row>
    <row r="709" spans="1:2" x14ac:dyDescent="0.3">
      <c r="A709" s="99">
        <v>43473</v>
      </c>
      <c r="B709" s="103">
        <v>10802.150390625</v>
      </c>
    </row>
    <row r="710" spans="1:2" x14ac:dyDescent="0.3">
      <c r="A710" s="99">
        <v>43474</v>
      </c>
      <c r="B710" s="103">
        <v>10855.150390625</v>
      </c>
    </row>
    <row r="711" spans="1:2" x14ac:dyDescent="0.3">
      <c r="A711" s="99">
        <v>43475</v>
      </c>
      <c r="B711" s="103">
        <v>10821.599609375</v>
      </c>
    </row>
    <row r="712" spans="1:2" x14ac:dyDescent="0.3">
      <c r="A712" s="99">
        <v>43476</v>
      </c>
      <c r="B712" s="103">
        <v>10794.9501953125</v>
      </c>
    </row>
    <row r="713" spans="1:2" x14ac:dyDescent="0.3">
      <c r="A713" s="99">
        <v>43479</v>
      </c>
      <c r="B713" s="103">
        <v>10737.599609375</v>
      </c>
    </row>
    <row r="714" spans="1:2" x14ac:dyDescent="0.3">
      <c r="A714" s="99">
        <v>43480</v>
      </c>
      <c r="B714" s="103">
        <v>10886.7998046875</v>
      </c>
    </row>
    <row r="715" spans="1:2" x14ac:dyDescent="0.3">
      <c r="A715" s="99">
        <v>43481</v>
      </c>
      <c r="B715" s="103">
        <v>10890.2998046875</v>
      </c>
    </row>
    <row r="716" spans="1:2" x14ac:dyDescent="0.3">
      <c r="A716" s="99">
        <v>43482</v>
      </c>
      <c r="B716" s="103">
        <v>10905.2001953125</v>
      </c>
    </row>
    <row r="717" spans="1:2" x14ac:dyDescent="0.3">
      <c r="A717" s="99">
        <v>43483</v>
      </c>
      <c r="B717" s="103">
        <v>10906.9501953125</v>
      </c>
    </row>
    <row r="718" spans="1:2" x14ac:dyDescent="0.3">
      <c r="A718" s="99">
        <v>43486</v>
      </c>
      <c r="B718" s="103">
        <v>10961.849609375</v>
      </c>
    </row>
    <row r="719" spans="1:2" x14ac:dyDescent="0.3">
      <c r="A719" s="99">
        <v>43487</v>
      </c>
      <c r="B719" s="103">
        <v>10922.75</v>
      </c>
    </row>
    <row r="720" spans="1:2" x14ac:dyDescent="0.3">
      <c r="A720" s="99">
        <v>43488</v>
      </c>
      <c r="B720" s="103">
        <v>10831.5</v>
      </c>
    </row>
    <row r="721" spans="1:2" x14ac:dyDescent="0.3">
      <c r="A721" s="99">
        <v>43489</v>
      </c>
      <c r="B721" s="103">
        <v>10849.7998046875</v>
      </c>
    </row>
    <row r="722" spans="1:2" x14ac:dyDescent="0.3">
      <c r="A722" s="99">
        <v>43490</v>
      </c>
      <c r="B722" s="103">
        <v>10780.5498046875</v>
      </c>
    </row>
    <row r="723" spans="1:2" x14ac:dyDescent="0.3">
      <c r="A723" s="99">
        <v>43493</v>
      </c>
      <c r="B723" s="103">
        <v>10661.5498046875</v>
      </c>
    </row>
    <row r="724" spans="1:2" x14ac:dyDescent="0.3">
      <c r="A724" s="99">
        <v>43494</v>
      </c>
      <c r="B724" s="103">
        <v>10652.2001953125</v>
      </c>
    </row>
    <row r="725" spans="1:2" x14ac:dyDescent="0.3">
      <c r="A725" s="99">
        <v>43495</v>
      </c>
      <c r="B725" s="103">
        <v>10651.7998046875</v>
      </c>
    </row>
    <row r="726" spans="1:2" x14ac:dyDescent="0.3">
      <c r="A726" s="99">
        <v>43496</v>
      </c>
      <c r="B726" s="103">
        <v>10830.9501953125</v>
      </c>
    </row>
    <row r="727" spans="1:2" x14ac:dyDescent="0.3">
      <c r="A727" s="99">
        <v>43497</v>
      </c>
      <c r="B727" s="103">
        <v>10893.650390625</v>
      </c>
    </row>
    <row r="728" spans="1:2" x14ac:dyDescent="0.3">
      <c r="A728" s="99">
        <v>43500</v>
      </c>
      <c r="B728" s="103">
        <v>10912.25</v>
      </c>
    </row>
    <row r="729" spans="1:2" x14ac:dyDescent="0.3">
      <c r="A729" s="99">
        <v>43501</v>
      </c>
      <c r="B729" s="103">
        <v>10934.349609375</v>
      </c>
    </row>
    <row r="730" spans="1:2" x14ac:dyDescent="0.3">
      <c r="A730" s="99">
        <v>43502</v>
      </c>
      <c r="B730" s="103">
        <v>11062.4501953125</v>
      </c>
    </row>
    <row r="731" spans="1:2" x14ac:dyDescent="0.3">
      <c r="A731" s="99">
        <v>43503</v>
      </c>
      <c r="B731" s="103">
        <v>11069.400390625</v>
      </c>
    </row>
    <row r="732" spans="1:2" x14ac:dyDescent="0.3">
      <c r="A732" s="99">
        <v>43504</v>
      </c>
      <c r="B732" s="103">
        <v>10943.599609375</v>
      </c>
    </row>
    <row r="733" spans="1:2" x14ac:dyDescent="0.3">
      <c r="A733" s="99">
        <v>43507</v>
      </c>
      <c r="B733" s="103">
        <v>10888.7998046875</v>
      </c>
    </row>
    <row r="734" spans="1:2" x14ac:dyDescent="0.3">
      <c r="A734" s="99">
        <v>43508</v>
      </c>
      <c r="B734" s="103">
        <v>10831.400390625</v>
      </c>
    </row>
    <row r="735" spans="1:2" x14ac:dyDescent="0.3">
      <c r="A735" s="99">
        <v>43510</v>
      </c>
      <c r="B735" s="103">
        <v>10746.0498046875</v>
      </c>
    </row>
    <row r="736" spans="1:2" x14ac:dyDescent="0.3">
      <c r="A736" s="99">
        <v>43511</v>
      </c>
      <c r="B736" s="103">
        <v>10724.400390625</v>
      </c>
    </row>
    <row r="737" spans="1:2" x14ac:dyDescent="0.3">
      <c r="A737" s="99">
        <v>43514</v>
      </c>
      <c r="B737" s="103">
        <v>10640.9501953125</v>
      </c>
    </row>
    <row r="738" spans="1:2" x14ac:dyDescent="0.3">
      <c r="A738" s="99">
        <v>43515</v>
      </c>
      <c r="B738" s="103">
        <v>10604.349609375</v>
      </c>
    </row>
    <row r="739" spans="1:2" x14ac:dyDescent="0.3">
      <c r="A739" s="99">
        <v>43516</v>
      </c>
      <c r="B739" s="103">
        <v>10735.4501953125</v>
      </c>
    </row>
    <row r="740" spans="1:2" x14ac:dyDescent="0.3">
      <c r="A740" s="99">
        <v>43517</v>
      </c>
      <c r="B740" s="103">
        <v>10789.849609375</v>
      </c>
    </row>
    <row r="741" spans="1:2" x14ac:dyDescent="0.3">
      <c r="A741" s="99">
        <v>43518</v>
      </c>
      <c r="B741" s="103">
        <v>10791.650390625</v>
      </c>
    </row>
    <row r="742" spans="1:2" x14ac:dyDescent="0.3">
      <c r="A742" s="99">
        <v>43521</v>
      </c>
      <c r="B742" s="103">
        <v>10880.099609375</v>
      </c>
    </row>
    <row r="743" spans="1:2" x14ac:dyDescent="0.3">
      <c r="A743" s="99">
        <v>43522</v>
      </c>
      <c r="B743" s="103">
        <v>10835.2998046875</v>
      </c>
    </row>
    <row r="744" spans="1:2" x14ac:dyDescent="0.3">
      <c r="A744" s="99">
        <v>43523</v>
      </c>
      <c r="B744" s="103">
        <v>10806.650390625</v>
      </c>
    </row>
    <row r="745" spans="1:2" x14ac:dyDescent="0.3">
      <c r="A745" s="99">
        <v>43524</v>
      </c>
      <c r="B745" s="103">
        <v>10792.5</v>
      </c>
    </row>
    <row r="746" spans="1:2" x14ac:dyDescent="0.3">
      <c r="A746" s="99">
        <v>43525</v>
      </c>
      <c r="B746" s="103">
        <v>10863.5</v>
      </c>
    </row>
    <row r="747" spans="1:2" x14ac:dyDescent="0.3">
      <c r="A747" s="99">
        <v>43529</v>
      </c>
      <c r="B747" s="103">
        <v>10987.4501953125</v>
      </c>
    </row>
    <row r="748" spans="1:2" x14ac:dyDescent="0.3">
      <c r="A748" s="99">
        <v>43530</v>
      </c>
      <c r="B748" s="103">
        <v>11053</v>
      </c>
    </row>
    <row r="749" spans="1:2" x14ac:dyDescent="0.3">
      <c r="A749" s="99">
        <v>43531</v>
      </c>
      <c r="B749" s="103">
        <v>11058.2001953125</v>
      </c>
    </row>
    <row r="750" spans="1:2" x14ac:dyDescent="0.3">
      <c r="A750" s="99">
        <v>43532</v>
      </c>
      <c r="B750" s="103">
        <v>11035.400390625</v>
      </c>
    </row>
    <row r="751" spans="1:2" x14ac:dyDescent="0.3">
      <c r="A751" s="99">
        <v>43535</v>
      </c>
      <c r="B751" s="103">
        <v>11168.0498046875</v>
      </c>
    </row>
    <row r="752" spans="1:2" x14ac:dyDescent="0.3">
      <c r="A752" s="99">
        <v>43536</v>
      </c>
      <c r="B752" s="103">
        <v>11301.2001953125</v>
      </c>
    </row>
    <row r="753" spans="1:2" x14ac:dyDescent="0.3">
      <c r="A753" s="99">
        <v>43537</v>
      </c>
      <c r="B753" s="103">
        <v>11341.7001953125</v>
      </c>
    </row>
    <row r="754" spans="1:2" x14ac:dyDescent="0.3">
      <c r="A754" s="99">
        <v>43538</v>
      </c>
      <c r="B754" s="103">
        <v>11343.25</v>
      </c>
    </row>
    <row r="755" spans="1:2" x14ac:dyDescent="0.3">
      <c r="A755" s="99">
        <v>43539</v>
      </c>
      <c r="B755" s="103">
        <v>11426.849609375</v>
      </c>
    </row>
    <row r="756" spans="1:2" x14ac:dyDescent="0.3">
      <c r="A756" s="99">
        <v>43542</v>
      </c>
      <c r="B756" s="103">
        <v>11462.2001953125</v>
      </c>
    </row>
    <row r="757" spans="1:2" x14ac:dyDescent="0.3">
      <c r="A757" s="99">
        <v>43543</v>
      </c>
      <c r="B757" s="103">
        <v>11532.400390625</v>
      </c>
    </row>
    <row r="758" spans="1:2" x14ac:dyDescent="0.3">
      <c r="A758" s="99">
        <v>43544</v>
      </c>
      <c r="B758" s="103">
        <v>11521.0498046875</v>
      </c>
    </row>
    <row r="759" spans="1:2" x14ac:dyDescent="0.3">
      <c r="A759" s="99">
        <v>43546</v>
      </c>
      <c r="B759" s="103">
        <v>11456.900390625</v>
      </c>
    </row>
    <row r="760" spans="1:2" x14ac:dyDescent="0.3">
      <c r="A760" s="99">
        <v>43549</v>
      </c>
      <c r="B760" s="103">
        <v>11354.25</v>
      </c>
    </row>
    <row r="761" spans="1:2" x14ac:dyDescent="0.3">
      <c r="A761" s="99">
        <v>43550</v>
      </c>
      <c r="B761" s="103">
        <v>11483.25</v>
      </c>
    </row>
    <row r="762" spans="1:2" x14ac:dyDescent="0.3">
      <c r="A762" s="99">
        <v>43551</v>
      </c>
      <c r="B762" s="103">
        <v>11445.0498046875</v>
      </c>
    </row>
    <row r="763" spans="1:2" x14ac:dyDescent="0.3">
      <c r="A763" s="99">
        <v>43552</v>
      </c>
      <c r="B763" s="103">
        <v>11570</v>
      </c>
    </row>
    <row r="764" spans="1:2" x14ac:dyDescent="0.3">
      <c r="A764" s="99">
        <v>43556</v>
      </c>
      <c r="B764" s="103">
        <v>11669.150390625</v>
      </c>
    </row>
    <row r="765" spans="1:2" x14ac:dyDescent="0.3">
      <c r="A765" s="99">
        <v>43557</v>
      </c>
      <c r="B765" s="103">
        <v>11713.2001953125</v>
      </c>
    </row>
    <row r="766" spans="1:2" x14ac:dyDescent="0.3">
      <c r="A766" s="99">
        <v>43558</v>
      </c>
      <c r="B766" s="103">
        <v>11643.9501953125</v>
      </c>
    </row>
    <row r="767" spans="1:2" x14ac:dyDescent="0.3">
      <c r="A767" s="99">
        <v>43559</v>
      </c>
      <c r="B767" s="103">
        <v>11598</v>
      </c>
    </row>
    <row r="768" spans="1:2" x14ac:dyDescent="0.3">
      <c r="A768" s="99">
        <v>43560</v>
      </c>
      <c r="B768" s="103">
        <v>11665.9501953125</v>
      </c>
    </row>
    <row r="769" spans="1:2" x14ac:dyDescent="0.3">
      <c r="A769" s="99">
        <v>43563</v>
      </c>
      <c r="B769" s="103">
        <v>11604.5</v>
      </c>
    </row>
    <row r="770" spans="1:2" x14ac:dyDescent="0.3">
      <c r="A770" s="99">
        <v>43564</v>
      </c>
      <c r="B770" s="103">
        <v>11671.9501953125</v>
      </c>
    </row>
    <row r="771" spans="1:2" x14ac:dyDescent="0.3">
      <c r="A771" s="99">
        <v>43565</v>
      </c>
      <c r="B771" s="103">
        <v>11584.2998046875</v>
      </c>
    </row>
    <row r="772" spans="1:2" x14ac:dyDescent="0.3">
      <c r="A772" s="99">
        <v>43566</v>
      </c>
      <c r="B772" s="103">
        <v>11596.7001953125</v>
      </c>
    </row>
    <row r="773" spans="1:2" x14ac:dyDescent="0.3">
      <c r="A773" s="99">
        <v>43567</v>
      </c>
      <c r="B773" s="103">
        <v>11643.4501953125</v>
      </c>
    </row>
    <row r="774" spans="1:2" x14ac:dyDescent="0.3">
      <c r="A774" s="99">
        <v>43570</v>
      </c>
      <c r="B774" s="103">
        <v>11690.349609375</v>
      </c>
    </row>
    <row r="775" spans="1:2" x14ac:dyDescent="0.3">
      <c r="A775" s="99">
        <v>43571</v>
      </c>
      <c r="B775" s="103">
        <v>11787.150390625</v>
      </c>
    </row>
    <row r="776" spans="1:2" x14ac:dyDescent="0.3">
      <c r="A776" s="99">
        <v>43573</v>
      </c>
      <c r="B776" s="103">
        <v>11752.7998046875</v>
      </c>
    </row>
    <row r="777" spans="1:2" x14ac:dyDescent="0.3">
      <c r="A777" s="99">
        <v>43577</v>
      </c>
      <c r="B777" s="103">
        <v>11594.4501953125</v>
      </c>
    </row>
    <row r="778" spans="1:2" x14ac:dyDescent="0.3">
      <c r="A778" s="99">
        <v>43578</v>
      </c>
      <c r="B778" s="103">
        <v>11575.9501953125</v>
      </c>
    </row>
    <row r="779" spans="1:2" x14ac:dyDescent="0.3">
      <c r="A779" s="99">
        <v>43579</v>
      </c>
      <c r="B779" s="103">
        <v>11726.150390625</v>
      </c>
    </row>
    <row r="780" spans="1:2" x14ac:dyDescent="0.3">
      <c r="A780" s="99">
        <v>43580</v>
      </c>
      <c r="B780" s="103">
        <v>11641.7998046875</v>
      </c>
    </row>
    <row r="781" spans="1:2" x14ac:dyDescent="0.3">
      <c r="A781" s="99">
        <v>43581</v>
      </c>
      <c r="B781" s="103">
        <v>11754.650390625</v>
      </c>
    </row>
    <row r="782" spans="1:2" x14ac:dyDescent="0.3">
      <c r="A782" s="99">
        <v>43585</v>
      </c>
      <c r="B782" s="103">
        <v>11748.150390625</v>
      </c>
    </row>
    <row r="783" spans="1:2" x14ac:dyDescent="0.3">
      <c r="A783" s="99">
        <v>43587</v>
      </c>
      <c r="B783" s="103">
        <v>11724.75</v>
      </c>
    </row>
    <row r="784" spans="1:2" x14ac:dyDescent="0.3">
      <c r="A784" s="99">
        <v>43588</v>
      </c>
      <c r="B784" s="103">
        <v>11712.25</v>
      </c>
    </row>
    <row r="785" spans="1:2" x14ac:dyDescent="0.3">
      <c r="A785" s="99">
        <v>43591</v>
      </c>
      <c r="B785" s="103">
        <v>11598.25</v>
      </c>
    </row>
    <row r="786" spans="1:2" x14ac:dyDescent="0.3">
      <c r="A786" s="99">
        <v>43592</v>
      </c>
      <c r="B786" s="103">
        <v>11497.900390625</v>
      </c>
    </row>
    <row r="787" spans="1:2" x14ac:dyDescent="0.3">
      <c r="A787" s="99">
        <v>43593</v>
      </c>
      <c r="B787" s="103">
        <v>11359.4501953125</v>
      </c>
    </row>
    <row r="788" spans="1:2" x14ac:dyDescent="0.3">
      <c r="A788" s="99">
        <v>43594</v>
      </c>
      <c r="B788" s="103">
        <v>11301.7998046875</v>
      </c>
    </row>
    <row r="789" spans="1:2" x14ac:dyDescent="0.3">
      <c r="A789" s="99">
        <v>43595</v>
      </c>
      <c r="B789" s="103">
        <v>11278.900390625</v>
      </c>
    </row>
    <row r="790" spans="1:2" x14ac:dyDescent="0.3">
      <c r="A790" s="99">
        <v>43598</v>
      </c>
      <c r="B790" s="103">
        <v>11148.2001953125</v>
      </c>
    </row>
    <row r="791" spans="1:2" x14ac:dyDescent="0.3">
      <c r="A791" s="99">
        <v>43599</v>
      </c>
      <c r="B791" s="103">
        <v>11222.0498046875</v>
      </c>
    </row>
    <row r="792" spans="1:2" x14ac:dyDescent="0.3">
      <c r="A792" s="99">
        <v>43600</v>
      </c>
      <c r="B792" s="103">
        <v>11157</v>
      </c>
    </row>
    <row r="793" spans="1:2" x14ac:dyDescent="0.3">
      <c r="A793" s="99">
        <v>43601</v>
      </c>
      <c r="B793" s="103">
        <v>11257.099609375</v>
      </c>
    </row>
    <row r="794" spans="1:2" x14ac:dyDescent="0.3">
      <c r="A794" s="99">
        <v>43602</v>
      </c>
      <c r="B794" s="103">
        <v>11407.150390625</v>
      </c>
    </row>
    <row r="795" spans="1:2" x14ac:dyDescent="0.3">
      <c r="A795" s="99">
        <v>43605</v>
      </c>
      <c r="B795" s="103">
        <v>11828.25</v>
      </c>
    </row>
    <row r="796" spans="1:2" x14ac:dyDescent="0.3">
      <c r="A796" s="99">
        <v>43606</v>
      </c>
      <c r="B796" s="103">
        <v>11709.099609375</v>
      </c>
    </row>
    <row r="797" spans="1:2" x14ac:dyDescent="0.3">
      <c r="A797" s="99">
        <v>43607</v>
      </c>
      <c r="B797" s="103">
        <v>11737.900390625</v>
      </c>
    </row>
    <row r="798" spans="1:2" x14ac:dyDescent="0.3">
      <c r="A798" s="99">
        <v>43608</v>
      </c>
      <c r="B798" s="103">
        <v>11657.0498046875</v>
      </c>
    </row>
    <row r="799" spans="1:2" x14ac:dyDescent="0.3">
      <c r="A799" s="99">
        <v>43609</v>
      </c>
      <c r="B799" s="103">
        <v>11844.099609375</v>
      </c>
    </row>
    <row r="800" spans="1:2" x14ac:dyDescent="0.3">
      <c r="A800" s="99">
        <v>43612</v>
      </c>
      <c r="B800" s="103">
        <v>11924.75</v>
      </c>
    </row>
    <row r="801" spans="1:2" x14ac:dyDescent="0.3">
      <c r="A801" s="99">
        <v>43613</v>
      </c>
      <c r="B801" s="103">
        <v>11928.75</v>
      </c>
    </row>
    <row r="802" spans="1:2" x14ac:dyDescent="0.3">
      <c r="A802" s="99">
        <v>43614</v>
      </c>
      <c r="B802" s="103">
        <v>11861.099609375</v>
      </c>
    </row>
    <row r="803" spans="1:2" x14ac:dyDescent="0.3">
      <c r="A803" s="99">
        <v>43615</v>
      </c>
      <c r="B803" s="103">
        <v>11945.900390625</v>
      </c>
    </row>
    <row r="804" spans="1:2" x14ac:dyDescent="0.3">
      <c r="A804" s="99">
        <v>43616</v>
      </c>
      <c r="B804" s="103">
        <v>11922.7998046875</v>
      </c>
    </row>
    <row r="805" spans="1:2" x14ac:dyDescent="0.3">
      <c r="A805" s="99">
        <v>43619</v>
      </c>
      <c r="B805" s="103">
        <v>12088.5498046875</v>
      </c>
    </row>
    <row r="806" spans="1:2" x14ac:dyDescent="0.3">
      <c r="A806" s="99">
        <v>43620</v>
      </c>
      <c r="B806" s="103">
        <v>12021.650390625</v>
      </c>
    </row>
    <row r="807" spans="1:2" x14ac:dyDescent="0.3">
      <c r="A807" s="99">
        <v>43622</v>
      </c>
      <c r="B807" s="103">
        <v>11843.75</v>
      </c>
    </row>
    <row r="808" spans="1:2" x14ac:dyDescent="0.3">
      <c r="A808" s="99">
        <v>43623</v>
      </c>
      <c r="B808" s="103">
        <v>11870.650390625</v>
      </c>
    </row>
    <row r="809" spans="1:2" x14ac:dyDescent="0.3">
      <c r="A809" s="99">
        <v>43626</v>
      </c>
      <c r="B809" s="103">
        <v>11922.7001953125</v>
      </c>
    </row>
    <row r="810" spans="1:2" x14ac:dyDescent="0.3">
      <c r="A810" s="99">
        <v>43627</v>
      </c>
      <c r="B810" s="103">
        <v>11965.599609375</v>
      </c>
    </row>
    <row r="811" spans="1:2" x14ac:dyDescent="0.3">
      <c r="A811" s="99">
        <v>43628</v>
      </c>
      <c r="B811" s="103">
        <v>11906.2001953125</v>
      </c>
    </row>
    <row r="812" spans="1:2" x14ac:dyDescent="0.3">
      <c r="A812" s="99">
        <v>43629</v>
      </c>
      <c r="B812" s="103">
        <v>11914.0498046875</v>
      </c>
    </row>
    <row r="813" spans="1:2" x14ac:dyDescent="0.3">
      <c r="A813" s="99">
        <v>43630</v>
      </c>
      <c r="B813" s="103">
        <v>11823.2998046875</v>
      </c>
    </row>
    <row r="814" spans="1:2" x14ac:dyDescent="0.3">
      <c r="A814" s="99">
        <v>43633</v>
      </c>
      <c r="B814" s="103">
        <v>11672.150390625</v>
      </c>
    </row>
    <row r="815" spans="1:2" x14ac:dyDescent="0.3">
      <c r="A815" s="99">
        <v>43634</v>
      </c>
      <c r="B815" s="103">
        <v>11691.5</v>
      </c>
    </row>
    <row r="816" spans="1:2" x14ac:dyDescent="0.3">
      <c r="A816" s="99">
        <v>43635</v>
      </c>
      <c r="B816" s="103">
        <v>11691.4501953125</v>
      </c>
    </row>
    <row r="817" spans="1:2" x14ac:dyDescent="0.3">
      <c r="A817" s="99">
        <v>43636</v>
      </c>
      <c r="B817" s="103">
        <v>11831.75</v>
      </c>
    </row>
    <row r="818" spans="1:2" x14ac:dyDescent="0.3">
      <c r="A818" s="99">
        <v>43637</v>
      </c>
      <c r="B818" s="103">
        <v>11724.099609375</v>
      </c>
    </row>
    <row r="819" spans="1:2" x14ac:dyDescent="0.3">
      <c r="A819" s="99">
        <v>43640</v>
      </c>
      <c r="B819" s="103">
        <v>11699.650390625</v>
      </c>
    </row>
    <row r="820" spans="1:2" x14ac:dyDescent="0.3">
      <c r="A820" s="99">
        <v>43641</v>
      </c>
      <c r="B820" s="103">
        <v>11796.4501953125</v>
      </c>
    </row>
    <row r="821" spans="1:2" x14ac:dyDescent="0.3">
      <c r="A821" s="99">
        <v>43642</v>
      </c>
      <c r="B821" s="103">
        <v>11847.5498046875</v>
      </c>
    </row>
    <row r="822" spans="1:2" x14ac:dyDescent="0.3">
      <c r="A822" s="99">
        <v>43643</v>
      </c>
      <c r="B822" s="103">
        <v>11841.5498046875</v>
      </c>
    </row>
    <row r="823" spans="1:2" x14ac:dyDescent="0.3">
      <c r="A823" s="99">
        <v>43644</v>
      </c>
      <c r="B823" s="103">
        <v>11788.849609375</v>
      </c>
    </row>
    <row r="824" spans="1:2" x14ac:dyDescent="0.3">
      <c r="A824" s="99">
        <v>43647</v>
      </c>
      <c r="B824" s="103">
        <v>11865.599609375</v>
      </c>
    </row>
    <row r="825" spans="1:2" x14ac:dyDescent="0.3">
      <c r="A825" s="99">
        <v>43648</v>
      </c>
      <c r="B825" s="103">
        <v>11910.2998046875</v>
      </c>
    </row>
    <row r="826" spans="1:2" x14ac:dyDescent="0.3">
      <c r="A826" s="99">
        <v>43649</v>
      </c>
      <c r="B826" s="103">
        <v>11916.75</v>
      </c>
    </row>
    <row r="827" spans="1:2" x14ac:dyDescent="0.3">
      <c r="A827" s="99">
        <v>43650</v>
      </c>
      <c r="B827" s="103">
        <v>11946.75</v>
      </c>
    </row>
    <row r="828" spans="1:2" x14ac:dyDescent="0.3">
      <c r="A828" s="99">
        <v>43651</v>
      </c>
      <c r="B828" s="103">
        <v>11811.150390625</v>
      </c>
    </row>
    <row r="829" spans="1:2" x14ac:dyDescent="0.3">
      <c r="A829" s="99">
        <v>43654</v>
      </c>
      <c r="B829" s="103">
        <v>11558.599609375</v>
      </c>
    </row>
    <row r="830" spans="1:2" x14ac:dyDescent="0.3">
      <c r="A830" s="99">
        <v>43655</v>
      </c>
      <c r="B830" s="103">
        <v>11555.900390625</v>
      </c>
    </row>
    <row r="831" spans="1:2" x14ac:dyDescent="0.3">
      <c r="A831" s="99">
        <v>43656</v>
      </c>
      <c r="B831" s="103">
        <v>11498.900390625</v>
      </c>
    </row>
    <row r="832" spans="1:2" x14ac:dyDescent="0.3">
      <c r="A832" s="99">
        <v>43657</v>
      </c>
      <c r="B832" s="103">
        <v>11582.900390625</v>
      </c>
    </row>
    <row r="833" spans="1:2" x14ac:dyDescent="0.3">
      <c r="A833" s="99">
        <v>43658</v>
      </c>
      <c r="B833" s="103">
        <v>11552.5</v>
      </c>
    </row>
    <row r="834" spans="1:2" x14ac:dyDescent="0.3">
      <c r="A834" s="99">
        <v>43661</v>
      </c>
      <c r="B834" s="103">
        <v>11588.349609375</v>
      </c>
    </row>
    <row r="835" spans="1:2" x14ac:dyDescent="0.3">
      <c r="A835" s="99">
        <v>43662</v>
      </c>
      <c r="B835" s="103">
        <v>11662.599609375</v>
      </c>
    </row>
    <row r="836" spans="1:2" x14ac:dyDescent="0.3">
      <c r="A836" s="99">
        <v>43663</v>
      </c>
      <c r="B836" s="103">
        <v>11687.5</v>
      </c>
    </row>
    <row r="837" spans="1:2" x14ac:dyDescent="0.3">
      <c r="A837" s="99">
        <v>43664</v>
      </c>
      <c r="B837" s="103">
        <v>11596.900390625</v>
      </c>
    </row>
    <row r="838" spans="1:2" x14ac:dyDescent="0.3">
      <c r="A838" s="99">
        <v>43665</v>
      </c>
      <c r="B838" s="103">
        <v>11419.25</v>
      </c>
    </row>
    <row r="839" spans="1:2" x14ac:dyDescent="0.3">
      <c r="A839" s="99">
        <v>43668</v>
      </c>
      <c r="B839" s="103">
        <v>11346.2001953125</v>
      </c>
    </row>
    <row r="840" spans="1:2" x14ac:dyDescent="0.3">
      <c r="A840" s="99">
        <v>43669</v>
      </c>
      <c r="B840" s="103">
        <v>11331.0498046875</v>
      </c>
    </row>
    <row r="841" spans="1:2" x14ac:dyDescent="0.3">
      <c r="A841" s="99">
        <v>43670</v>
      </c>
      <c r="B841" s="103">
        <v>11271.2998046875</v>
      </c>
    </row>
    <row r="842" spans="1:2" x14ac:dyDescent="0.3">
      <c r="A842" s="99">
        <v>43671</v>
      </c>
      <c r="B842" s="103">
        <v>11252.150390625</v>
      </c>
    </row>
    <row r="843" spans="1:2" x14ac:dyDescent="0.3">
      <c r="A843" s="99">
        <v>43672</v>
      </c>
      <c r="B843" s="103">
        <v>11284.2998046875</v>
      </c>
    </row>
    <row r="844" spans="1:2" x14ac:dyDescent="0.3">
      <c r="A844" s="99">
        <v>43675</v>
      </c>
      <c r="B844" s="103">
        <v>11189.2001953125</v>
      </c>
    </row>
    <row r="845" spans="1:2" x14ac:dyDescent="0.3">
      <c r="A845" s="99">
        <v>43676</v>
      </c>
      <c r="B845" s="103">
        <v>11085.400390625</v>
      </c>
    </row>
    <row r="846" spans="1:2" x14ac:dyDescent="0.3">
      <c r="A846" s="99">
        <v>43677</v>
      </c>
      <c r="B846" s="103">
        <v>11118</v>
      </c>
    </row>
    <row r="847" spans="1:2" x14ac:dyDescent="0.3">
      <c r="A847" s="99">
        <v>43678</v>
      </c>
      <c r="B847" s="103">
        <v>10980</v>
      </c>
    </row>
    <row r="848" spans="1:2" x14ac:dyDescent="0.3">
      <c r="A848" s="99">
        <v>43679</v>
      </c>
      <c r="B848" s="103">
        <v>10997.349609375</v>
      </c>
    </row>
    <row r="849" spans="1:2" x14ac:dyDescent="0.3">
      <c r="A849" s="99">
        <v>43682</v>
      </c>
      <c r="B849" s="103">
        <v>10862.599609375</v>
      </c>
    </row>
    <row r="850" spans="1:2" x14ac:dyDescent="0.3">
      <c r="A850" s="99">
        <v>43683</v>
      </c>
      <c r="B850" s="103">
        <v>10948.25</v>
      </c>
    </row>
    <row r="851" spans="1:2" x14ac:dyDescent="0.3">
      <c r="A851" s="99">
        <v>43684</v>
      </c>
      <c r="B851" s="103">
        <v>10855.5</v>
      </c>
    </row>
    <row r="852" spans="1:2" x14ac:dyDescent="0.3">
      <c r="A852" s="99">
        <v>43685</v>
      </c>
      <c r="B852" s="103">
        <v>11032.4501953125</v>
      </c>
    </row>
    <row r="853" spans="1:2" x14ac:dyDescent="0.3">
      <c r="A853" s="99">
        <v>43686</v>
      </c>
      <c r="B853" s="103">
        <v>11109.650390625</v>
      </c>
    </row>
    <row r="854" spans="1:2" x14ac:dyDescent="0.3">
      <c r="A854" s="99">
        <v>43690</v>
      </c>
      <c r="B854" s="103">
        <v>10925.849609375</v>
      </c>
    </row>
    <row r="855" spans="1:2" x14ac:dyDescent="0.3">
      <c r="A855" s="99">
        <v>43691</v>
      </c>
      <c r="B855" s="103">
        <v>11029.400390625</v>
      </c>
    </row>
    <row r="856" spans="1:2" x14ac:dyDescent="0.3">
      <c r="A856" s="99">
        <v>43693</v>
      </c>
      <c r="B856" s="103">
        <v>11047.7998046875</v>
      </c>
    </row>
    <row r="857" spans="1:2" x14ac:dyDescent="0.3">
      <c r="A857" s="99">
        <v>43696</v>
      </c>
      <c r="B857" s="103">
        <v>11053.900390625</v>
      </c>
    </row>
    <row r="858" spans="1:2" x14ac:dyDescent="0.3">
      <c r="A858" s="99">
        <v>43697</v>
      </c>
      <c r="B858" s="103">
        <v>11017</v>
      </c>
    </row>
    <row r="859" spans="1:2" x14ac:dyDescent="0.3">
      <c r="A859" s="99">
        <v>43698</v>
      </c>
      <c r="B859" s="103">
        <v>10918.7001953125</v>
      </c>
    </row>
    <row r="860" spans="1:2" x14ac:dyDescent="0.3">
      <c r="A860" s="99">
        <v>43699</v>
      </c>
      <c r="B860" s="103">
        <v>10741.349609375</v>
      </c>
    </row>
    <row r="861" spans="1:2" x14ac:dyDescent="0.3">
      <c r="A861" s="99">
        <v>43700</v>
      </c>
      <c r="B861" s="103">
        <v>10829.349609375</v>
      </c>
    </row>
    <row r="862" spans="1:2" x14ac:dyDescent="0.3">
      <c r="A862" s="99">
        <v>43703</v>
      </c>
      <c r="B862" s="103">
        <v>11057.849609375</v>
      </c>
    </row>
    <row r="863" spans="1:2" x14ac:dyDescent="0.3">
      <c r="A863" s="99">
        <v>43704</v>
      </c>
      <c r="B863" s="103">
        <v>11105.349609375</v>
      </c>
    </row>
    <row r="864" spans="1:2" x14ac:dyDescent="0.3">
      <c r="A864" s="99">
        <v>43705</v>
      </c>
      <c r="B864" s="103">
        <v>11046.099609375</v>
      </c>
    </row>
    <row r="865" spans="1:2" x14ac:dyDescent="0.3">
      <c r="A865" s="99">
        <v>43706</v>
      </c>
      <c r="B865" s="103">
        <v>10948.2998046875</v>
      </c>
    </row>
    <row r="866" spans="1:2" x14ac:dyDescent="0.3">
      <c r="A866" s="99">
        <v>43707</v>
      </c>
      <c r="B866" s="103">
        <v>11023.25</v>
      </c>
    </row>
    <row r="867" spans="1:2" x14ac:dyDescent="0.3">
      <c r="A867" s="99">
        <v>43711</v>
      </c>
      <c r="B867" s="103">
        <v>10797.900390625</v>
      </c>
    </row>
    <row r="868" spans="1:2" x14ac:dyDescent="0.3">
      <c r="A868" s="99">
        <v>43712</v>
      </c>
      <c r="B868" s="103">
        <v>10844.650390625</v>
      </c>
    </row>
    <row r="869" spans="1:2" x14ac:dyDescent="0.3">
      <c r="A869" s="99">
        <v>43713</v>
      </c>
      <c r="B869" s="103">
        <v>10847.900390625</v>
      </c>
    </row>
    <row r="870" spans="1:2" x14ac:dyDescent="0.3">
      <c r="A870" s="99">
        <v>43714</v>
      </c>
      <c r="B870" s="103">
        <v>10946.2001953125</v>
      </c>
    </row>
    <row r="871" spans="1:2" x14ac:dyDescent="0.3">
      <c r="A871" s="99">
        <v>43717</v>
      </c>
      <c r="B871" s="103">
        <v>11003.0498046875</v>
      </c>
    </row>
    <row r="872" spans="1:2" x14ac:dyDescent="0.3">
      <c r="A872" s="99">
        <v>43719</v>
      </c>
      <c r="B872" s="103">
        <v>11035.7001953125</v>
      </c>
    </row>
    <row r="873" spans="1:2" x14ac:dyDescent="0.3">
      <c r="A873" s="99">
        <v>43720</v>
      </c>
      <c r="B873" s="103">
        <v>10982.7998046875</v>
      </c>
    </row>
    <row r="874" spans="1:2" x14ac:dyDescent="0.3">
      <c r="A874" s="99">
        <v>43721</v>
      </c>
      <c r="B874" s="103">
        <v>11075.900390625</v>
      </c>
    </row>
    <row r="875" spans="1:2" x14ac:dyDescent="0.3">
      <c r="A875" s="99">
        <v>43724</v>
      </c>
      <c r="B875" s="103">
        <v>11003.5</v>
      </c>
    </row>
    <row r="876" spans="1:2" x14ac:dyDescent="0.3">
      <c r="A876" s="99">
        <v>43725</v>
      </c>
      <c r="B876" s="103">
        <v>10817.599609375</v>
      </c>
    </row>
    <row r="877" spans="1:2" x14ac:dyDescent="0.3">
      <c r="A877" s="99">
        <v>43726</v>
      </c>
      <c r="B877" s="103">
        <v>10840.650390625</v>
      </c>
    </row>
    <row r="878" spans="1:2" x14ac:dyDescent="0.3">
      <c r="A878" s="99">
        <v>43727</v>
      </c>
      <c r="B878" s="103">
        <v>10704.7998046875</v>
      </c>
    </row>
    <row r="879" spans="1:2" x14ac:dyDescent="0.3">
      <c r="A879" s="99">
        <v>43728</v>
      </c>
      <c r="B879" s="103">
        <v>11274.2001953125</v>
      </c>
    </row>
    <row r="880" spans="1:2" x14ac:dyDescent="0.3">
      <c r="A880" s="99">
        <v>43731</v>
      </c>
      <c r="B880" s="103">
        <v>11600.2001953125</v>
      </c>
    </row>
    <row r="881" spans="1:2" x14ac:dyDescent="0.3">
      <c r="A881" s="99">
        <v>43732</v>
      </c>
      <c r="B881" s="103">
        <v>11588.2001953125</v>
      </c>
    </row>
    <row r="882" spans="1:2" x14ac:dyDescent="0.3">
      <c r="A882" s="99">
        <v>43733</v>
      </c>
      <c r="B882" s="103">
        <v>11440.2001953125</v>
      </c>
    </row>
    <row r="883" spans="1:2" x14ac:dyDescent="0.3">
      <c r="A883" s="99">
        <v>43734</v>
      </c>
      <c r="B883" s="103">
        <v>11571.2001953125</v>
      </c>
    </row>
    <row r="884" spans="1:2" x14ac:dyDescent="0.3">
      <c r="A884" s="99">
        <v>43735</v>
      </c>
      <c r="B884" s="103">
        <v>11512.400390625</v>
      </c>
    </row>
    <row r="885" spans="1:2" x14ac:dyDescent="0.3">
      <c r="A885" s="99">
        <v>43738</v>
      </c>
      <c r="B885" s="103">
        <v>11474.4501953125</v>
      </c>
    </row>
    <row r="886" spans="1:2" x14ac:dyDescent="0.3">
      <c r="A886" s="99">
        <v>43739</v>
      </c>
      <c r="B886" s="103">
        <v>11359.900390625</v>
      </c>
    </row>
    <row r="887" spans="1:2" x14ac:dyDescent="0.3">
      <c r="A887" s="99">
        <v>43741</v>
      </c>
      <c r="B887" s="103">
        <v>11314</v>
      </c>
    </row>
    <row r="888" spans="1:2" x14ac:dyDescent="0.3">
      <c r="A888" s="99">
        <v>43742</v>
      </c>
      <c r="B888" s="103">
        <v>11174.75</v>
      </c>
    </row>
    <row r="889" spans="1:2" x14ac:dyDescent="0.3">
      <c r="A889" s="99">
        <v>43745</v>
      </c>
      <c r="B889" s="103">
        <v>11126.400390625</v>
      </c>
    </row>
    <row r="890" spans="1:2" x14ac:dyDescent="0.3">
      <c r="A890" s="99">
        <v>43747</v>
      </c>
      <c r="B890" s="103">
        <v>11313.2998046875</v>
      </c>
    </row>
    <row r="891" spans="1:2" x14ac:dyDescent="0.3">
      <c r="A891" s="99">
        <v>43748</v>
      </c>
      <c r="B891" s="103">
        <v>11234.5498046875</v>
      </c>
    </row>
    <row r="892" spans="1:2" x14ac:dyDescent="0.3">
      <c r="A892" s="99">
        <v>43749</v>
      </c>
      <c r="B892" s="103">
        <v>11305.0498046875</v>
      </c>
    </row>
    <row r="893" spans="1:2" x14ac:dyDescent="0.3">
      <c r="A893" s="99">
        <v>43752</v>
      </c>
      <c r="B893" s="103">
        <v>11341.150390625</v>
      </c>
    </row>
    <row r="894" spans="1:2" x14ac:dyDescent="0.3">
      <c r="A894" s="99">
        <v>43753</v>
      </c>
      <c r="B894" s="103">
        <v>11428.2998046875</v>
      </c>
    </row>
    <row r="895" spans="1:2" x14ac:dyDescent="0.3">
      <c r="A895" s="99">
        <v>43754</v>
      </c>
      <c r="B895" s="103">
        <v>11464</v>
      </c>
    </row>
    <row r="896" spans="1:2" x14ac:dyDescent="0.3">
      <c r="A896" s="99">
        <v>43755</v>
      </c>
      <c r="B896" s="103">
        <v>11586.349609375</v>
      </c>
    </row>
    <row r="897" spans="1:2" x14ac:dyDescent="0.3">
      <c r="A897" s="99">
        <v>43756</v>
      </c>
      <c r="B897" s="103">
        <v>11661.849609375</v>
      </c>
    </row>
    <row r="898" spans="1:2" x14ac:dyDescent="0.3">
      <c r="A898" s="99">
        <v>43760</v>
      </c>
      <c r="B898" s="103">
        <v>11588.349609375</v>
      </c>
    </row>
    <row r="899" spans="1:2" x14ac:dyDescent="0.3">
      <c r="A899" s="99">
        <v>43761</v>
      </c>
      <c r="B899" s="103">
        <v>11604.099609375</v>
      </c>
    </row>
    <row r="900" spans="1:2" x14ac:dyDescent="0.3">
      <c r="A900" s="99">
        <v>43762</v>
      </c>
      <c r="B900" s="103">
        <v>11582.599609375</v>
      </c>
    </row>
    <row r="901" spans="1:2" x14ac:dyDescent="0.3">
      <c r="A901" s="99">
        <v>43763</v>
      </c>
      <c r="B901" s="103">
        <v>11583.900390625</v>
      </c>
    </row>
    <row r="902" spans="1:2" x14ac:dyDescent="0.3">
      <c r="A902" s="99">
        <v>43767</v>
      </c>
      <c r="B902" s="103">
        <v>11786.849609375</v>
      </c>
    </row>
    <row r="903" spans="1:2" x14ac:dyDescent="0.3">
      <c r="A903" s="99">
        <v>43768</v>
      </c>
      <c r="B903" s="103">
        <v>11844.099609375</v>
      </c>
    </row>
    <row r="904" spans="1:2" x14ac:dyDescent="0.3">
      <c r="A904" s="99">
        <v>43769</v>
      </c>
      <c r="B904" s="103">
        <v>11877.4501953125</v>
      </c>
    </row>
    <row r="905" spans="1:2" x14ac:dyDescent="0.3">
      <c r="A905" s="99">
        <v>43770</v>
      </c>
      <c r="B905" s="103">
        <v>11890.599609375</v>
      </c>
    </row>
    <row r="906" spans="1:2" x14ac:dyDescent="0.3">
      <c r="A906" s="99">
        <v>43773</v>
      </c>
      <c r="B906" s="103">
        <v>11941.2998046875</v>
      </c>
    </row>
    <row r="907" spans="1:2" x14ac:dyDescent="0.3">
      <c r="A907" s="99">
        <v>43774</v>
      </c>
      <c r="B907" s="103">
        <v>11917.2001953125</v>
      </c>
    </row>
    <row r="908" spans="1:2" x14ac:dyDescent="0.3">
      <c r="A908" s="99">
        <v>43775</v>
      </c>
      <c r="B908" s="103">
        <v>11966.0498046875</v>
      </c>
    </row>
    <row r="909" spans="1:2" x14ac:dyDescent="0.3">
      <c r="A909" s="99">
        <v>43776</v>
      </c>
      <c r="B909" s="103">
        <v>12012.0498046875</v>
      </c>
    </row>
    <row r="910" spans="1:2" x14ac:dyDescent="0.3">
      <c r="A910" s="99">
        <v>43777</v>
      </c>
      <c r="B910" s="103">
        <v>11908.150390625</v>
      </c>
    </row>
    <row r="911" spans="1:2" x14ac:dyDescent="0.3">
      <c r="A911" s="99">
        <v>43780</v>
      </c>
      <c r="B911" s="103">
        <v>11913.4501953125</v>
      </c>
    </row>
    <row r="912" spans="1:2" x14ac:dyDescent="0.3">
      <c r="A912" s="99">
        <v>43782</v>
      </c>
      <c r="B912" s="103">
        <v>11840.4501953125</v>
      </c>
    </row>
    <row r="913" spans="1:2" x14ac:dyDescent="0.3">
      <c r="A913" s="99">
        <v>43783</v>
      </c>
      <c r="B913" s="103">
        <v>11872.099609375</v>
      </c>
    </row>
    <row r="914" spans="1:2" x14ac:dyDescent="0.3">
      <c r="A914" s="99">
        <v>43784</v>
      </c>
      <c r="B914" s="103">
        <v>11895.4501953125</v>
      </c>
    </row>
    <row r="915" spans="1:2" x14ac:dyDescent="0.3">
      <c r="A915" s="99">
        <v>43787</v>
      </c>
      <c r="B915" s="103">
        <v>11884.5</v>
      </c>
    </row>
    <row r="916" spans="1:2" x14ac:dyDescent="0.3">
      <c r="A916" s="99">
        <v>43788</v>
      </c>
      <c r="B916" s="103">
        <v>11940.099609375</v>
      </c>
    </row>
    <row r="917" spans="1:2" x14ac:dyDescent="0.3">
      <c r="A917" s="99">
        <v>43789</v>
      </c>
      <c r="B917" s="103">
        <v>11999.099609375</v>
      </c>
    </row>
    <row r="918" spans="1:2" x14ac:dyDescent="0.3">
      <c r="A918" s="99">
        <v>43790</v>
      </c>
      <c r="B918" s="103">
        <v>11968.400390625</v>
      </c>
    </row>
    <row r="919" spans="1:2" x14ac:dyDescent="0.3">
      <c r="A919" s="99">
        <v>43791</v>
      </c>
      <c r="B919" s="103">
        <v>11914.400390625</v>
      </c>
    </row>
    <row r="920" spans="1:2" x14ac:dyDescent="0.3">
      <c r="A920" s="99">
        <v>43794</v>
      </c>
      <c r="B920" s="103">
        <v>12073.75</v>
      </c>
    </row>
    <row r="921" spans="1:2" x14ac:dyDescent="0.3">
      <c r="A921" s="99">
        <v>43795</v>
      </c>
      <c r="B921" s="103">
        <v>12037.7001953125</v>
      </c>
    </row>
    <row r="922" spans="1:2" x14ac:dyDescent="0.3">
      <c r="A922" s="99">
        <v>43796</v>
      </c>
      <c r="B922" s="103">
        <v>12100.7001953125</v>
      </c>
    </row>
    <row r="923" spans="1:2" x14ac:dyDescent="0.3">
      <c r="A923" s="99">
        <v>43797</v>
      </c>
      <c r="B923" s="103">
        <v>12151.150390625</v>
      </c>
    </row>
    <row r="924" spans="1:2" x14ac:dyDescent="0.3">
      <c r="A924" s="99">
        <v>43798</v>
      </c>
      <c r="B924" s="103">
        <v>12056.0498046875</v>
      </c>
    </row>
    <row r="925" spans="1:2" x14ac:dyDescent="0.3">
      <c r="A925" s="99">
        <v>43801</v>
      </c>
      <c r="B925" s="103">
        <v>12048.2001953125</v>
      </c>
    </row>
    <row r="926" spans="1:2" x14ac:dyDescent="0.3">
      <c r="A926" s="99">
        <v>43802</v>
      </c>
      <c r="B926" s="103">
        <v>11994.2001953125</v>
      </c>
    </row>
    <row r="927" spans="1:2" x14ac:dyDescent="0.3">
      <c r="A927" s="99">
        <v>43803</v>
      </c>
      <c r="B927" s="103">
        <v>12043.2001953125</v>
      </c>
    </row>
    <row r="928" spans="1:2" x14ac:dyDescent="0.3">
      <c r="A928" s="99">
        <v>43804</v>
      </c>
      <c r="B928" s="103">
        <v>12018.400390625</v>
      </c>
    </row>
    <row r="929" spans="1:2" x14ac:dyDescent="0.3">
      <c r="A929" s="99">
        <v>43805</v>
      </c>
      <c r="B929" s="103">
        <v>11921.5</v>
      </c>
    </row>
    <row r="930" spans="1:2" x14ac:dyDescent="0.3">
      <c r="A930" s="99">
        <v>43808</v>
      </c>
      <c r="B930" s="103">
        <v>11937.5</v>
      </c>
    </row>
    <row r="931" spans="1:2" x14ac:dyDescent="0.3">
      <c r="A931" s="99">
        <v>43809</v>
      </c>
      <c r="B931" s="103">
        <v>11856.7998046875</v>
      </c>
    </row>
    <row r="932" spans="1:2" x14ac:dyDescent="0.3">
      <c r="A932" s="99">
        <v>43810</v>
      </c>
      <c r="B932" s="103">
        <v>11910.150390625</v>
      </c>
    </row>
    <row r="933" spans="1:2" x14ac:dyDescent="0.3">
      <c r="A933" s="99">
        <v>43811</v>
      </c>
      <c r="B933" s="103">
        <v>11971.7998046875</v>
      </c>
    </row>
    <row r="934" spans="1:2" x14ac:dyDescent="0.3">
      <c r="A934" s="99">
        <v>43812</v>
      </c>
      <c r="B934" s="103">
        <v>12086.7001953125</v>
      </c>
    </row>
    <row r="935" spans="1:2" x14ac:dyDescent="0.3">
      <c r="A935" s="99">
        <v>43815</v>
      </c>
      <c r="B935" s="103">
        <v>12053.9501953125</v>
      </c>
    </row>
    <row r="936" spans="1:2" x14ac:dyDescent="0.3">
      <c r="A936" s="99">
        <v>43816</v>
      </c>
      <c r="B936" s="103">
        <v>12165</v>
      </c>
    </row>
    <row r="937" spans="1:2" x14ac:dyDescent="0.3">
      <c r="A937" s="99">
        <v>43817</v>
      </c>
      <c r="B937" s="103">
        <v>12221.650390625</v>
      </c>
    </row>
    <row r="938" spans="1:2" x14ac:dyDescent="0.3">
      <c r="A938" s="99">
        <v>43818</v>
      </c>
      <c r="B938" s="103">
        <v>12259.7001953125</v>
      </c>
    </row>
    <row r="939" spans="1:2" x14ac:dyDescent="0.3">
      <c r="A939" s="99">
        <v>43819</v>
      </c>
      <c r="B939" s="103">
        <v>12271.7998046875</v>
      </c>
    </row>
    <row r="940" spans="1:2" x14ac:dyDescent="0.3">
      <c r="A940" s="99">
        <v>43822</v>
      </c>
      <c r="B940" s="103">
        <v>12262.75</v>
      </c>
    </row>
    <row r="941" spans="1:2" x14ac:dyDescent="0.3">
      <c r="A941" s="99">
        <v>43823</v>
      </c>
      <c r="B941" s="103">
        <v>12214.5498046875</v>
      </c>
    </row>
    <row r="942" spans="1:2" x14ac:dyDescent="0.3">
      <c r="A942" s="99">
        <v>43825</v>
      </c>
      <c r="B942" s="103">
        <v>12126.5498046875</v>
      </c>
    </row>
    <row r="943" spans="1:2" x14ac:dyDescent="0.3">
      <c r="A943" s="99">
        <v>43826</v>
      </c>
      <c r="B943" s="103">
        <v>12245.7998046875</v>
      </c>
    </row>
    <row r="944" spans="1:2" x14ac:dyDescent="0.3">
      <c r="A944" s="99">
        <v>43829</v>
      </c>
      <c r="B944" s="103">
        <v>12255.849609375</v>
      </c>
    </row>
    <row r="945" spans="1:2" x14ac:dyDescent="0.3">
      <c r="A945" s="99">
        <v>43830</v>
      </c>
      <c r="B945" s="103">
        <v>12168.4501953125</v>
      </c>
    </row>
    <row r="946" spans="1:2" x14ac:dyDescent="0.3">
      <c r="A946" s="99">
        <v>43831</v>
      </c>
      <c r="B946" s="103">
        <v>12182.5</v>
      </c>
    </row>
    <row r="947" spans="1:2" x14ac:dyDescent="0.3">
      <c r="A947" s="99">
        <v>43832</v>
      </c>
      <c r="B947" s="103">
        <v>12282.2001953125</v>
      </c>
    </row>
    <row r="948" spans="1:2" x14ac:dyDescent="0.3">
      <c r="A948" s="99">
        <v>43833</v>
      </c>
      <c r="B948" s="103">
        <v>12226.650390625</v>
      </c>
    </row>
    <row r="949" spans="1:2" x14ac:dyDescent="0.3">
      <c r="A949" s="99">
        <v>43836</v>
      </c>
      <c r="B949" s="103">
        <v>11993.0498046875</v>
      </c>
    </row>
    <row r="950" spans="1:2" x14ac:dyDescent="0.3">
      <c r="A950" s="99">
        <v>43837</v>
      </c>
      <c r="B950" s="103">
        <v>12052.9501953125</v>
      </c>
    </row>
    <row r="951" spans="1:2" x14ac:dyDescent="0.3">
      <c r="A951" s="99">
        <v>43838</v>
      </c>
      <c r="B951" s="103">
        <v>12025.349609375</v>
      </c>
    </row>
    <row r="952" spans="1:2" x14ac:dyDescent="0.3">
      <c r="A952" s="99">
        <v>43839</v>
      </c>
      <c r="B952" s="103">
        <v>12215.900390625</v>
      </c>
    </row>
    <row r="953" spans="1:2" x14ac:dyDescent="0.3">
      <c r="A953" s="99">
        <v>43840</v>
      </c>
      <c r="B953" s="103">
        <v>12256.7998046875</v>
      </c>
    </row>
    <row r="954" spans="1:2" x14ac:dyDescent="0.3">
      <c r="A954" s="99">
        <v>43843</v>
      </c>
      <c r="B954" s="103">
        <v>12329.5498046875</v>
      </c>
    </row>
    <row r="955" spans="1:2" x14ac:dyDescent="0.3">
      <c r="A955" s="99">
        <v>43844</v>
      </c>
      <c r="B955" s="103">
        <v>12362.2998046875</v>
      </c>
    </row>
    <row r="956" spans="1:2" x14ac:dyDescent="0.3">
      <c r="A956" s="99">
        <v>43845</v>
      </c>
      <c r="B956" s="103">
        <v>12343.2998046875</v>
      </c>
    </row>
    <row r="957" spans="1:2" x14ac:dyDescent="0.3">
      <c r="A957" s="99">
        <v>43846</v>
      </c>
      <c r="B957" s="103">
        <v>12355.5</v>
      </c>
    </row>
    <row r="958" spans="1:2" x14ac:dyDescent="0.3">
      <c r="A958" s="99">
        <v>43847</v>
      </c>
      <c r="B958" s="103">
        <v>12352.349609375</v>
      </c>
    </row>
    <row r="959" spans="1:2" x14ac:dyDescent="0.3">
      <c r="A959" s="99">
        <v>43850</v>
      </c>
      <c r="B959" s="103">
        <v>12224.5498046875</v>
      </c>
    </row>
    <row r="960" spans="1:2" x14ac:dyDescent="0.3">
      <c r="A960" s="99">
        <v>43851</v>
      </c>
      <c r="B960" s="103">
        <v>12169.849609375</v>
      </c>
    </row>
    <row r="961" spans="1:2" x14ac:dyDescent="0.3">
      <c r="A961" s="99">
        <v>43852</v>
      </c>
      <c r="B961" s="103">
        <v>12106.900390625</v>
      </c>
    </row>
    <row r="962" spans="1:2" x14ac:dyDescent="0.3">
      <c r="A962" s="99">
        <v>43853</v>
      </c>
      <c r="B962" s="103">
        <v>12180.349609375</v>
      </c>
    </row>
    <row r="963" spans="1:2" x14ac:dyDescent="0.3">
      <c r="A963" s="99">
        <v>43854</v>
      </c>
      <c r="B963" s="103">
        <v>12248.25</v>
      </c>
    </row>
    <row r="964" spans="1:2" x14ac:dyDescent="0.3">
      <c r="A964" s="99">
        <v>43857</v>
      </c>
      <c r="B964" s="103">
        <v>12119</v>
      </c>
    </row>
    <row r="965" spans="1:2" x14ac:dyDescent="0.3">
      <c r="A965" s="99">
        <v>43858</v>
      </c>
      <c r="B965" s="103">
        <v>12055.7998046875</v>
      </c>
    </row>
    <row r="966" spans="1:2" x14ac:dyDescent="0.3">
      <c r="A966" s="99">
        <v>43859</v>
      </c>
      <c r="B966" s="103">
        <v>12129.5</v>
      </c>
    </row>
    <row r="967" spans="1:2" x14ac:dyDescent="0.3">
      <c r="A967" s="99">
        <v>43860</v>
      </c>
      <c r="B967" s="103">
        <v>12035.7998046875</v>
      </c>
    </row>
    <row r="968" spans="1:2" x14ac:dyDescent="0.3">
      <c r="A968" s="99">
        <v>43861</v>
      </c>
      <c r="B968" s="103">
        <v>11962.099609375</v>
      </c>
    </row>
    <row r="969" spans="1:2" x14ac:dyDescent="0.3">
      <c r="A969" s="99">
        <v>43864</v>
      </c>
      <c r="B969" s="103">
        <v>11707.900390625</v>
      </c>
    </row>
    <row r="970" spans="1:2" x14ac:dyDescent="0.3">
      <c r="A970" s="99">
        <v>43865</v>
      </c>
      <c r="B970" s="103">
        <v>11979.650390625</v>
      </c>
    </row>
    <row r="971" spans="1:2" x14ac:dyDescent="0.3">
      <c r="A971" s="99">
        <v>43866</v>
      </c>
      <c r="B971" s="103">
        <v>12089.150390625</v>
      </c>
    </row>
    <row r="972" spans="1:2" x14ac:dyDescent="0.3">
      <c r="A972" s="99">
        <v>43867</v>
      </c>
      <c r="B972" s="103">
        <v>12137.9501953125</v>
      </c>
    </row>
    <row r="973" spans="1:2" x14ac:dyDescent="0.3">
      <c r="A973" s="99">
        <v>43868</v>
      </c>
      <c r="B973" s="103">
        <v>12098.349609375</v>
      </c>
    </row>
    <row r="974" spans="1:2" x14ac:dyDescent="0.3">
      <c r="A974" s="99">
        <v>43871</v>
      </c>
      <c r="B974" s="103">
        <v>12031.5</v>
      </c>
    </row>
    <row r="975" spans="1:2" x14ac:dyDescent="0.3">
      <c r="A975" s="99">
        <v>43872</v>
      </c>
      <c r="B975" s="103">
        <v>12107.900390625</v>
      </c>
    </row>
    <row r="976" spans="1:2" x14ac:dyDescent="0.3">
      <c r="A976" s="99">
        <v>43873</v>
      </c>
      <c r="B976" s="103">
        <v>12201.2001953125</v>
      </c>
    </row>
    <row r="977" spans="1:2" x14ac:dyDescent="0.3">
      <c r="A977" s="99">
        <v>43874</v>
      </c>
      <c r="B977" s="103">
        <v>12174.650390625</v>
      </c>
    </row>
    <row r="978" spans="1:2" x14ac:dyDescent="0.3">
      <c r="A978" s="99">
        <v>43875</v>
      </c>
      <c r="B978" s="103">
        <v>12113.4501953125</v>
      </c>
    </row>
    <row r="979" spans="1:2" x14ac:dyDescent="0.3">
      <c r="A979" s="99">
        <v>43878</v>
      </c>
      <c r="B979" s="103">
        <v>12045.7998046875</v>
      </c>
    </row>
    <row r="980" spans="1:2" x14ac:dyDescent="0.3">
      <c r="A980" s="99">
        <v>43879</v>
      </c>
      <c r="B980" s="103">
        <v>11992.5</v>
      </c>
    </row>
    <row r="981" spans="1:2" x14ac:dyDescent="0.3">
      <c r="A981" s="99">
        <v>43880</v>
      </c>
      <c r="B981" s="103">
        <v>12125.900390625</v>
      </c>
    </row>
    <row r="982" spans="1:2" x14ac:dyDescent="0.3">
      <c r="A982" s="99">
        <v>43881</v>
      </c>
      <c r="B982" s="103">
        <v>12080.849609375</v>
      </c>
    </row>
    <row r="983" spans="1:2" x14ac:dyDescent="0.3">
      <c r="A983" s="99">
        <v>43885</v>
      </c>
      <c r="B983" s="103">
        <v>11829.400390625</v>
      </c>
    </row>
    <row r="984" spans="1:2" x14ac:dyDescent="0.3">
      <c r="A984" s="99">
        <v>43886</v>
      </c>
      <c r="B984" s="103">
        <v>11797.900390625</v>
      </c>
    </row>
    <row r="985" spans="1:2" x14ac:dyDescent="0.3">
      <c r="A985" s="99">
        <v>43887</v>
      </c>
      <c r="B985" s="103">
        <v>11678.5</v>
      </c>
    </row>
    <row r="986" spans="1:2" x14ac:dyDescent="0.3">
      <c r="A986" s="99">
        <v>43888</v>
      </c>
      <c r="B986" s="103">
        <v>11633.2998046875</v>
      </c>
    </row>
    <row r="987" spans="1:2" x14ac:dyDescent="0.3">
      <c r="A987" s="99">
        <v>43889</v>
      </c>
      <c r="B987" s="103">
        <v>11201.75</v>
      </c>
    </row>
    <row r="988" spans="1:2" x14ac:dyDescent="0.3">
      <c r="A988" s="99">
        <v>43892</v>
      </c>
      <c r="B988" s="103">
        <v>11132.75</v>
      </c>
    </row>
    <row r="989" spans="1:2" x14ac:dyDescent="0.3">
      <c r="A989" s="99">
        <v>43893</v>
      </c>
      <c r="B989" s="103">
        <v>11303.2998046875</v>
      </c>
    </row>
    <row r="990" spans="1:2" x14ac:dyDescent="0.3">
      <c r="A990" s="99">
        <v>43894</v>
      </c>
      <c r="B990" s="103">
        <v>11251</v>
      </c>
    </row>
    <row r="991" spans="1:2" x14ac:dyDescent="0.3">
      <c r="A991" s="99">
        <v>43895</v>
      </c>
      <c r="B991" s="103">
        <v>11269</v>
      </c>
    </row>
    <row r="992" spans="1:2" x14ac:dyDescent="0.3">
      <c r="A992" s="99">
        <v>43896</v>
      </c>
      <c r="B992" s="103">
        <v>10989.4501953125</v>
      </c>
    </row>
    <row r="993" spans="1:2" x14ac:dyDescent="0.3">
      <c r="A993" s="99">
        <v>43899</v>
      </c>
      <c r="B993" s="103">
        <v>10451.4501953125</v>
      </c>
    </row>
    <row r="994" spans="1:2" x14ac:dyDescent="0.3">
      <c r="A994" s="99">
        <v>43901</v>
      </c>
      <c r="B994" s="103">
        <v>10458.400390625</v>
      </c>
    </row>
    <row r="995" spans="1:2" x14ac:dyDescent="0.3">
      <c r="A995" s="99">
        <v>43902</v>
      </c>
      <c r="B995" s="103">
        <v>9590.150390625</v>
      </c>
    </row>
    <row r="996" spans="1:2" x14ac:dyDescent="0.3">
      <c r="A996" s="99">
        <v>43903</v>
      </c>
      <c r="B996" s="103">
        <v>9955.2001953125</v>
      </c>
    </row>
    <row r="997" spans="1:2" x14ac:dyDescent="0.3">
      <c r="A997" s="99">
        <v>43906</v>
      </c>
      <c r="B997" s="103">
        <v>9197.400390625</v>
      </c>
    </row>
    <row r="998" spans="1:2" x14ac:dyDescent="0.3">
      <c r="A998" s="99">
        <v>43907</v>
      </c>
      <c r="B998" s="103">
        <v>8967.0498046875</v>
      </c>
    </row>
    <row r="999" spans="1:2" x14ac:dyDescent="0.3">
      <c r="A999" s="99">
        <v>43908</v>
      </c>
      <c r="B999" s="103">
        <v>8468.7998046875</v>
      </c>
    </row>
    <row r="1000" spans="1:2" x14ac:dyDescent="0.3">
      <c r="A1000" s="99">
        <v>43909</v>
      </c>
      <c r="B1000" s="103">
        <v>8263.4501953125</v>
      </c>
    </row>
    <row r="1001" spans="1:2" x14ac:dyDescent="0.3">
      <c r="A1001" s="99">
        <v>43910</v>
      </c>
      <c r="B1001" s="103">
        <v>8745.4501953125</v>
      </c>
    </row>
    <row r="1002" spans="1:2" x14ac:dyDescent="0.3">
      <c r="A1002" s="99">
        <v>43913</v>
      </c>
      <c r="B1002" s="103">
        <v>7610.25</v>
      </c>
    </row>
    <row r="1003" spans="1:2" x14ac:dyDescent="0.3">
      <c r="A1003" s="99">
        <v>43914</v>
      </c>
      <c r="B1003" s="103">
        <v>7801.0498046875</v>
      </c>
    </row>
    <row r="1004" spans="1:2" x14ac:dyDescent="0.3">
      <c r="A1004" s="99">
        <v>43915</v>
      </c>
      <c r="B1004" s="103">
        <v>8317.849609375</v>
      </c>
    </row>
    <row r="1005" spans="1:2" x14ac:dyDescent="0.3">
      <c r="A1005" s="99">
        <v>43916</v>
      </c>
      <c r="B1005" s="103">
        <v>8641.4501953125</v>
      </c>
    </row>
    <row r="1006" spans="1:2" x14ac:dyDescent="0.3">
      <c r="A1006" s="99">
        <v>43917</v>
      </c>
      <c r="B1006" s="103">
        <v>8660.25</v>
      </c>
    </row>
    <row r="1007" spans="1:2" x14ac:dyDescent="0.3">
      <c r="A1007" s="99">
        <v>43920</v>
      </c>
      <c r="B1007" s="103">
        <v>8281.099609375</v>
      </c>
    </row>
    <row r="1008" spans="1:2" x14ac:dyDescent="0.3">
      <c r="A1008" s="99">
        <v>43921</v>
      </c>
      <c r="B1008" s="103">
        <v>8597.75</v>
      </c>
    </row>
    <row r="1009" spans="1:2" x14ac:dyDescent="0.3">
      <c r="A1009" s="99">
        <v>43922</v>
      </c>
      <c r="B1009" s="103">
        <v>8253.7998046875</v>
      </c>
    </row>
    <row r="1010" spans="1:2" x14ac:dyDescent="0.3">
      <c r="A1010" s="99">
        <v>43924</v>
      </c>
      <c r="B1010" s="103">
        <v>8083.7998046875</v>
      </c>
    </row>
    <row r="1011" spans="1:2" x14ac:dyDescent="0.3">
      <c r="A1011" s="99">
        <v>43928</v>
      </c>
      <c r="B1011" s="103">
        <v>8792.2001953125</v>
      </c>
    </row>
    <row r="1012" spans="1:2" x14ac:dyDescent="0.3">
      <c r="A1012" s="99">
        <v>43929</v>
      </c>
      <c r="B1012" s="103">
        <v>8748.75</v>
      </c>
    </row>
    <row r="1013" spans="1:2" x14ac:dyDescent="0.3">
      <c r="A1013" s="99">
        <v>43930</v>
      </c>
      <c r="B1013" s="103">
        <v>9111.900390625</v>
      </c>
    </row>
    <row r="1014" spans="1:2" x14ac:dyDescent="0.3">
      <c r="A1014" s="99">
        <v>43934</v>
      </c>
      <c r="B1014" s="103">
        <v>8993.849609375</v>
      </c>
    </row>
    <row r="1015" spans="1:2" x14ac:dyDescent="0.3">
      <c r="A1015" s="99">
        <v>43936</v>
      </c>
      <c r="B1015" s="103">
        <v>8925.2998046875</v>
      </c>
    </row>
    <row r="1016" spans="1:2" x14ac:dyDescent="0.3">
      <c r="A1016" s="99">
        <v>43937</v>
      </c>
      <c r="B1016" s="103">
        <v>8992.7998046875</v>
      </c>
    </row>
    <row r="1017" spans="1:2" x14ac:dyDescent="0.3">
      <c r="A1017" s="99">
        <v>43938</v>
      </c>
      <c r="B1017" s="103">
        <v>9266.75</v>
      </c>
    </row>
    <row r="1018" spans="1:2" x14ac:dyDescent="0.3">
      <c r="A1018" s="99">
        <v>43941</v>
      </c>
      <c r="B1018" s="103">
        <v>9261.849609375</v>
      </c>
    </row>
    <row r="1019" spans="1:2" x14ac:dyDescent="0.3">
      <c r="A1019" s="99">
        <v>43942</v>
      </c>
      <c r="B1019" s="103">
        <v>8981.4501953125</v>
      </c>
    </row>
    <row r="1020" spans="1:2" x14ac:dyDescent="0.3">
      <c r="A1020" s="99">
        <v>43943</v>
      </c>
      <c r="B1020" s="103">
        <v>9187.2998046875</v>
      </c>
    </row>
    <row r="1021" spans="1:2" x14ac:dyDescent="0.3">
      <c r="A1021" s="99">
        <v>43944</v>
      </c>
      <c r="B1021" s="103">
        <v>9313.900390625</v>
      </c>
    </row>
    <row r="1022" spans="1:2" x14ac:dyDescent="0.3">
      <c r="A1022" s="99">
        <v>43945</v>
      </c>
      <c r="B1022" s="103">
        <v>9154.400390625</v>
      </c>
    </row>
    <row r="1023" spans="1:2" x14ac:dyDescent="0.3">
      <c r="A1023" s="99">
        <v>43948</v>
      </c>
      <c r="B1023" s="103">
        <v>9282.2998046875</v>
      </c>
    </row>
    <row r="1024" spans="1:2" x14ac:dyDescent="0.3">
      <c r="A1024" s="99">
        <v>43949</v>
      </c>
      <c r="B1024" s="103">
        <v>9380.900390625</v>
      </c>
    </row>
    <row r="1025" spans="1:2" x14ac:dyDescent="0.3">
      <c r="A1025" s="99">
        <v>43950</v>
      </c>
      <c r="B1025" s="103">
        <v>9553.349609375</v>
      </c>
    </row>
    <row r="1026" spans="1:2" x14ac:dyDescent="0.3">
      <c r="A1026" s="99">
        <v>43951</v>
      </c>
      <c r="B1026" s="103">
        <v>9859.900390625</v>
      </c>
    </row>
    <row r="1027" spans="1:2" x14ac:dyDescent="0.3">
      <c r="A1027" s="99">
        <v>43955</v>
      </c>
      <c r="B1027" s="103">
        <v>9293.5</v>
      </c>
    </row>
    <row r="1028" spans="1:2" x14ac:dyDescent="0.3">
      <c r="A1028" s="99">
        <v>43956</v>
      </c>
      <c r="B1028" s="103">
        <v>9205.599609375</v>
      </c>
    </row>
    <row r="1029" spans="1:2" x14ac:dyDescent="0.3">
      <c r="A1029" s="99">
        <v>43957</v>
      </c>
      <c r="B1029" s="103">
        <v>9270.900390625</v>
      </c>
    </row>
    <row r="1030" spans="1:2" x14ac:dyDescent="0.3">
      <c r="A1030" s="99">
        <v>43958</v>
      </c>
      <c r="B1030" s="103">
        <v>9199.0498046875</v>
      </c>
    </row>
    <row r="1031" spans="1:2" x14ac:dyDescent="0.3">
      <c r="A1031" s="99">
        <v>43959</v>
      </c>
      <c r="B1031" s="103">
        <v>9251.5</v>
      </c>
    </row>
    <row r="1032" spans="1:2" x14ac:dyDescent="0.3">
      <c r="A1032" s="99">
        <v>43962</v>
      </c>
      <c r="B1032" s="103">
        <v>9239.2001953125</v>
      </c>
    </row>
    <row r="1033" spans="1:2" x14ac:dyDescent="0.3">
      <c r="A1033" s="99">
        <v>43963</v>
      </c>
      <c r="B1033" s="103">
        <v>9196.5498046875</v>
      </c>
    </row>
    <row r="1034" spans="1:2" x14ac:dyDescent="0.3">
      <c r="A1034" s="99">
        <v>43964</v>
      </c>
      <c r="B1034" s="103">
        <v>9383.5498046875</v>
      </c>
    </row>
    <row r="1035" spans="1:2" x14ac:dyDescent="0.3">
      <c r="A1035" s="99">
        <v>43965</v>
      </c>
      <c r="B1035" s="103">
        <v>9142.75</v>
      </c>
    </row>
    <row r="1036" spans="1:2" x14ac:dyDescent="0.3">
      <c r="A1036" s="99">
        <v>43966</v>
      </c>
      <c r="B1036" s="103">
        <v>9136.849609375</v>
      </c>
    </row>
    <row r="1037" spans="1:2" x14ac:dyDescent="0.3">
      <c r="A1037" s="99">
        <v>43969</v>
      </c>
      <c r="B1037" s="103">
        <v>8823.25</v>
      </c>
    </row>
    <row r="1038" spans="1:2" x14ac:dyDescent="0.3">
      <c r="A1038" s="99">
        <v>43970</v>
      </c>
      <c r="B1038" s="103">
        <v>8879.099609375</v>
      </c>
    </row>
    <row r="1039" spans="1:2" x14ac:dyDescent="0.3">
      <c r="A1039" s="99">
        <v>43971</v>
      </c>
      <c r="B1039" s="103">
        <v>9066.5498046875</v>
      </c>
    </row>
    <row r="1040" spans="1:2" x14ac:dyDescent="0.3">
      <c r="A1040" s="99">
        <v>43972</v>
      </c>
      <c r="B1040" s="103">
        <v>9106.25</v>
      </c>
    </row>
    <row r="1041" spans="1:2" x14ac:dyDescent="0.3">
      <c r="A1041" s="99">
        <v>43973</v>
      </c>
      <c r="B1041" s="103">
        <v>9039.25</v>
      </c>
    </row>
    <row r="1042" spans="1:2" x14ac:dyDescent="0.3">
      <c r="A1042" s="99">
        <v>43977</v>
      </c>
      <c r="B1042" s="103">
        <v>9029.0498046875</v>
      </c>
    </row>
    <row r="1043" spans="1:2" x14ac:dyDescent="0.3">
      <c r="A1043" s="99">
        <v>43978</v>
      </c>
      <c r="B1043" s="103">
        <v>9314.9501953125</v>
      </c>
    </row>
    <row r="1044" spans="1:2" x14ac:dyDescent="0.3">
      <c r="A1044" s="99">
        <v>43979</v>
      </c>
      <c r="B1044" s="103">
        <v>9490.099609375</v>
      </c>
    </row>
    <row r="1045" spans="1:2" x14ac:dyDescent="0.3">
      <c r="A1045" s="99">
        <v>43980</v>
      </c>
      <c r="B1045" s="103">
        <v>9580.2998046875</v>
      </c>
    </row>
    <row r="1046" spans="1:2" x14ac:dyDescent="0.3">
      <c r="A1046" s="99">
        <v>43983</v>
      </c>
      <c r="B1046" s="103">
        <v>9826.150390625</v>
      </c>
    </row>
    <row r="1047" spans="1:2" x14ac:dyDescent="0.3">
      <c r="A1047" s="99">
        <v>43984</v>
      </c>
      <c r="B1047" s="103">
        <v>9979.099609375</v>
      </c>
    </row>
    <row r="1048" spans="1:2" x14ac:dyDescent="0.3">
      <c r="A1048" s="99">
        <v>43985</v>
      </c>
      <c r="B1048" s="103">
        <v>10061.5498046875</v>
      </c>
    </row>
    <row r="1049" spans="1:2" x14ac:dyDescent="0.3">
      <c r="A1049" s="99">
        <v>43986</v>
      </c>
      <c r="B1049" s="103">
        <v>10029.099609375</v>
      </c>
    </row>
    <row r="1050" spans="1:2" x14ac:dyDescent="0.3">
      <c r="A1050" s="99">
        <v>43987</v>
      </c>
      <c r="B1050" s="103">
        <v>10142.150390625</v>
      </c>
    </row>
    <row r="1051" spans="1:2" x14ac:dyDescent="0.3">
      <c r="A1051" s="99">
        <v>43990</v>
      </c>
      <c r="B1051" s="103">
        <v>10167.4501953125</v>
      </c>
    </row>
    <row r="1052" spans="1:2" x14ac:dyDescent="0.3">
      <c r="A1052" s="99">
        <v>43991</v>
      </c>
      <c r="B1052" s="103">
        <v>10046.650390625</v>
      </c>
    </row>
    <row r="1053" spans="1:2" x14ac:dyDescent="0.3">
      <c r="A1053" s="99">
        <v>43992</v>
      </c>
      <c r="B1053" s="103">
        <v>10116.150390625</v>
      </c>
    </row>
    <row r="1054" spans="1:2" x14ac:dyDescent="0.3">
      <c r="A1054" s="99">
        <v>43993</v>
      </c>
      <c r="B1054" s="103">
        <v>9902</v>
      </c>
    </row>
    <row r="1055" spans="1:2" x14ac:dyDescent="0.3">
      <c r="A1055" s="99">
        <v>43994</v>
      </c>
      <c r="B1055" s="103">
        <v>9972.900390625</v>
      </c>
    </row>
    <row r="1056" spans="1:2" x14ac:dyDescent="0.3">
      <c r="A1056" s="99">
        <v>43997</v>
      </c>
      <c r="B1056" s="103">
        <v>9813.7001953125</v>
      </c>
    </row>
    <row r="1057" spans="1:2" x14ac:dyDescent="0.3">
      <c r="A1057" s="99">
        <v>43998</v>
      </c>
      <c r="B1057" s="103">
        <v>9914</v>
      </c>
    </row>
    <row r="1058" spans="1:2" x14ac:dyDescent="0.3">
      <c r="A1058" s="99">
        <v>43999</v>
      </c>
      <c r="B1058" s="103">
        <v>9881.150390625</v>
      </c>
    </row>
    <row r="1059" spans="1:2" x14ac:dyDescent="0.3">
      <c r="A1059" s="99">
        <v>44000</v>
      </c>
      <c r="B1059" s="103">
        <v>10091.650390625</v>
      </c>
    </row>
    <row r="1060" spans="1:2" x14ac:dyDescent="0.3">
      <c r="A1060" s="99">
        <v>44001</v>
      </c>
      <c r="B1060" s="103">
        <v>10244.400390625</v>
      </c>
    </row>
    <row r="1061" spans="1:2" x14ac:dyDescent="0.3">
      <c r="A1061" s="99">
        <v>44004</v>
      </c>
      <c r="B1061" s="103">
        <v>10311.2001953125</v>
      </c>
    </row>
    <row r="1062" spans="1:2" x14ac:dyDescent="0.3">
      <c r="A1062" s="99">
        <v>44005</v>
      </c>
      <c r="B1062" s="103">
        <v>10471</v>
      </c>
    </row>
    <row r="1063" spans="1:2" x14ac:dyDescent="0.3">
      <c r="A1063" s="99">
        <v>44006</v>
      </c>
      <c r="B1063" s="103">
        <v>10305.2998046875</v>
      </c>
    </row>
    <row r="1064" spans="1:2" x14ac:dyDescent="0.3">
      <c r="A1064" s="99">
        <v>44007</v>
      </c>
      <c r="B1064" s="103">
        <v>10288.900390625</v>
      </c>
    </row>
    <row r="1065" spans="1:2" x14ac:dyDescent="0.3">
      <c r="A1065" s="99">
        <v>44008</v>
      </c>
      <c r="B1065" s="103">
        <v>10383</v>
      </c>
    </row>
    <row r="1066" spans="1:2" x14ac:dyDescent="0.3">
      <c r="A1066" s="99">
        <v>44011</v>
      </c>
      <c r="B1066" s="103">
        <v>10312.400390625</v>
      </c>
    </row>
    <row r="1067" spans="1:2" x14ac:dyDescent="0.3">
      <c r="A1067" s="99">
        <v>44012</v>
      </c>
      <c r="B1067" s="103">
        <v>10302.099609375</v>
      </c>
    </row>
    <row r="1068" spans="1:2" x14ac:dyDescent="0.3">
      <c r="A1068" s="99">
        <v>44013</v>
      </c>
      <c r="B1068" s="103">
        <v>10430.0498046875</v>
      </c>
    </row>
    <row r="1069" spans="1:2" x14ac:dyDescent="0.3">
      <c r="A1069" s="99">
        <v>44014</v>
      </c>
      <c r="B1069" s="103">
        <v>10551.7001953125</v>
      </c>
    </row>
    <row r="1070" spans="1:2" x14ac:dyDescent="0.3">
      <c r="A1070" s="99">
        <v>44015</v>
      </c>
      <c r="B1070" s="103">
        <v>10607.349609375</v>
      </c>
    </row>
    <row r="1071" spans="1:2" x14ac:dyDescent="0.3">
      <c r="A1071" s="99">
        <v>44018</v>
      </c>
      <c r="B1071" s="103">
        <v>10763.650390625</v>
      </c>
    </row>
    <row r="1072" spans="1:2" x14ac:dyDescent="0.3">
      <c r="A1072" s="99">
        <v>44019</v>
      </c>
      <c r="B1072" s="103">
        <v>10799.650390625</v>
      </c>
    </row>
    <row r="1073" spans="1:2" x14ac:dyDescent="0.3">
      <c r="A1073" s="99">
        <v>44020</v>
      </c>
      <c r="B1073" s="103">
        <v>10705.75</v>
      </c>
    </row>
    <row r="1074" spans="1:2" x14ac:dyDescent="0.3">
      <c r="A1074" s="99">
        <v>44021</v>
      </c>
      <c r="B1074" s="103">
        <v>10813.4501953125</v>
      </c>
    </row>
    <row r="1075" spans="1:2" x14ac:dyDescent="0.3">
      <c r="A1075" s="99">
        <v>44022</v>
      </c>
      <c r="B1075" s="103">
        <v>10768.0498046875</v>
      </c>
    </row>
    <row r="1076" spans="1:2" x14ac:dyDescent="0.3">
      <c r="A1076" s="99">
        <v>44025</v>
      </c>
      <c r="B1076" s="103">
        <v>10802.7001953125</v>
      </c>
    </row>
    <row r="1077" spans="1:2" x14ac:dyDescent="0.3">
      <c r="A1077" s="99">
        <v>44026</v>
      </c>
      <c r="B1077" s="103">
        <v>10607.349609375</v>
      </c>
    </row>
    <row r="1078" spans="1:2" x14ac:dyDescent="0.3">
      <c r="A1078" s="99">
        <v>44027</v>
      </c>
      <c r="B1078" s="103">
        <v>10618.2001953125</v>
      </c>
    </row>
    <row r="1079" spans="1:2" x14ac:dyDescent="0.3">
      <c r="A1079" s="99">
        <v>44028</v>
      </c>
      <c r="B1079" s="103">
        <v>10739.9501953125</v>
      </c>
    </row>
    <row r="1080" spans="1:2" x14ac:dyDescent="0.3">
      <c r="A1080" s="99">
        <v>44029</v>
      </c>
      <c r="B1080" s="103">
        <v>10901.7001953125</v>
      </c>
    </row>
    <row r="1081" spans="1:2" x14ac:dyDescent="0.3">
      <c r="A1081" s="99">
        <v>44032</v>
      </c>
      <c r="B1081" s="103">
        <v>11022.2001953125</v>
      </c>
    </row>
    <row r="1082" spans="1:2" x14ac:dyDescent="0.3">
      <c r="A1082" s="99">
        <v>44033</v>
      </c>
      <c r="B1082" s="103">
        <v>11162.25</v>
      </c>
    </row>
    <row r="1083" spans="1:2" x14ac:dyDescent="0.3">
      <c r="A1083" s="99">
        <v>44034</v>
      </c>
      <c r="B1083" s="103">
        <v>11132.599609375</v>
      </c>
    </row>
    <row r="1084" spans="1:2" x14ac:dyDescent="0.3">
      <c r="A1084" s="99">
        <v>44035</v>
      </c>
      <c r="B1084" s="103">
        <v>11215.4501953125</v>
      </c>
    </row>
    <row r="1085" spans="1:2" x14ac:dyDescent="0.3">
      <c r="A1085" s="99">
        <v>44036</v>
      </c>
      <c r="B1085" s="103">
        <v>11194.150390625</v>
      </c>
    </row>
    <row r="1086" spans="1:2" x14ac:dyDescent="0.3">
      <c r="A1086" s="99">
        <v>44039</v>
      </c>
      <c r="B1086" s="103">
        <v>11131.7998046875</v>
      </c>
    </row>
    <row r="1087" spans="1:2" x14ac:dyDescent="0.3">
      <c r="A1087" s="99">
        <v>44040</v>
      </c>
      <c r="B1087" s="103">
        <v>11300.5498046875</v>
      </c>
    </row>
    <row r="1088" spans="1:2" x14ac:dyDescent="0.3">
      <c r="A1088" s="99">
        <v>44041</v>
      </c>
      <c r="B1088" s="103">
        <v>11202.849609375</v>
      </c>
    </row>
    <row r="1089" spans="1:2" x14ac:dyDescent="0.3">
      <c r="A1089" s="99">
        <v>44042</v>
      </c>
      <c r="B1089" s="103">
        <v>11102.150390625</v>
      </c>
    </row>
    <row r="1090" spans="1:2" x14ac:dyDescent="0.3">
      <c r="A1090" s="99">
        <v>44043</v>
      </c>
      <c r="B1090" s="103">
        <v>11073.4501953125</v>
      </c>
    </row>
    <row r="1091" spans="1:2" x14ac:dyDescent="0.3">
      <c r="A1091" s="99">
        <v>44046</v>
      </c>
      <c r="B1091" s="103">
        <v>10891.599609375</v>
      </c>
    </row>
    <row r="1092" spans="1:2" x14ac:dyDescent="0.3">
      <c r="A1092" s="99">
        <v>44047</v>
      </c>
      <c r="B1092" s="103">
        <v>11095.25</v>
      </c>
    </row>
    <row r="1093" spans="1:2" x14ac:dyDescent="0.3">
      <c r="A1093" s="99">
        <v>44048</v>
      </c>
      <c r="B1093" s="103">
        <v>11101.650390625</v>
      </c>
    </row>
    <row r="1094" spans="1:2" x14ac:dyDescent="0.3">
      <c r="A1094" s="99">
        <v>44049</v>
      </c>
      <c r="B1094" s="103">
        <v>11200.150390625</v>
      </c>
    </row>
    <row r="1095" spans="1:2" x14ac:dyDescent="0.3">
      <c r="A1095" s="99">
        <v>44050</v>
      </c>
      <c r="B1095" s="103">
        <v>11214.0498046875</v>
      </c>
    </row>
    <row r="1096" spans="1:2" x14ac:dyDescent="0.3">
      <c r="A1096" s="99">
        <v>44053</v>
      </c>
      <c r="B1096" s="103">
        <v>11270.150390625</v>
      </c>
    </row>
    <row r="1097" spans="1:2" x14ac:dyDescent="0.3">
      <c r="A1097" s="99">
        <v>44054</v>
      </c>
      <c r="B1097" s="103">
        <v>11322.5</v>
      </c>
    </row>
    <row r="1098" spans="1:2" x14ac:dyDescent="0.3">
      <c r="A1098" s="99">
        <v>44055</v>
      </c>
      <c r="B1098" s="103">
        <v>11308.400390625</v>
      </c>
    </row>
    <row r="1099" spans="1:2" x14ac:dyDescent="0.3">
      <c r="A1099" s="99">
        <v>44056</v>
      </c>
      <c r="B1099" s="103">
        <v>11300.4501953125</v>
      </c>
    </row>
    <row r="1100" spans="1:2" x14ac:dyDescent="0.3">
      <c r="A1100" s="99">
        <v>44057</v>
      </c>
      <c r="B1100" s="103">
        <v>11178.400390625</v>
      </c>
    </row>
    <row r="1101" spans="1:2" x14ac:dyDescent="0.3">
      <c r="A1101" s="99">
        <v>44060</v>
      </c>
      <c r="B1101" s="103">
        <v>11247.099609375</v>
      </c>
    </row>
    <row r="1102" spans="1:2" x14ac:dyDescent="0.3">
      <c r="A1102" s="99">
        <v>44061</v>
      </c>
      <c r="B1102" s="103">
        <v>11385.349609375</v>
      </c>
    </row>
    <row r="1103" spans="1:2" x14ac:dyDescent="0.3">
      <c r="A1103" s="99">
        <v>44062</v>
      </c>
      <c r="B1103" s="103">
        <v>11408.400390625</v>
      </c>
    </row>
    <row r="1104" spans="1:2" x14ac:dyDescent="0.3">
      <c r="A1104" s="99">
        <v>44063</v>
      </c>
      <c r="B1104" s="103">
        <v>11312.2001953125</v>
      </c>
    </row>
    <row r="1105" spans="1:2" x14ac:dyDescent="0.3">
      <c r="A1105" s="99">
        <v>44064</v>
      </c>
      <c r="B1105" s="103">
        <v>11371.599609375</v>
      </c>
    </row>
    <row r="1106" spans="1:2" x14ac:dyDescent="0.3">
      <c r="A1106" s="99">
        <v>44067</v>
      </c>
      <c r="B1106" s="103">
        <v>11466.4501953125</v>
      </c>
    </row>
    <row r="1107" spans="1:2" x14ac:dyDescent="0.3">
      <c r="A1107" s="99">
        <v>44068</v>
      </c>
      <c r="B1107" s="103">
        <v>11472.25</v>
      </c>
    </row>
    <row r="1108" spans="1:2" x14ac:dyDescent="0.3">
      <c r="A1108" s="99">
        <v>44069</v>
      </c>
      <c r="B1108" s="103">
        <v>11549.599609375</v>
      </c>
    </row>
    <row r="1109" spans="1:2" x14ac:dyDescent="0.3">
      <c r="A1109" s="99">
        <v>44070</v>
      </c>
      <c r="B1109" s="103">
        <v>11559.25</v>
      </c>
    </row>
    <row r="1110" spans="1:2" x14ac:dyDescent="0.3">
      <c r="A1110" s="99">
        <v>44071</v>
      </c>
      <c r="B1110" s="103">
        <v>11647.599609375</v>
      </c>
    </row>
    <row r="1111" spans="1:2" x14ac:dyDescent="0.3">
      <c r="A1111" s="99">
        <v>44074</v>
      </c>
      <c r="B1111" s="103">
        <v>11387.5</v>
      </c>
    </row>
    <row r="1112" spans="1:2" x14ac:dyDescent="0.3">
      <c r="A1112" s="99">
        <v>44075</v>
      </c>
      <c r="B1112" s="103">
        <v>11470.25</v>
      </c>
    </row>
    <row r="1113" spans="1:2" x14ac:dyDescent="0.3">
      <c r="A1113" s="99">
        <v>44076</v>
      </c>
      <c r="B1113" s="103">
        <v>11535</v>
      </c>
    </row>
    <row r="1114" spans="1:2" x14ac:dyDescent="0.3">
      <c r="A1114" s="99">
        <v>44077</v>
      </c>
      <c r="B1114" s="103">
        <v>11527.4501953125</v>
      </c>
    </row>
    <row r="1115" spans="1:2" x14ac:dyDescent="0.3">
      <c r="A1115" s="99">
        <v>44078</v>
      </c>
      <c r="B1115" s="103">
        <v>11333.849609375</v>
      </c>
    </row>
    <row r="1116" spans="1:2" x14ac:dyDescent="0.3">
      <c r="A1116" s="99">
        <v>44081</v>
      </c>
      <c r="B1116" s="103">
        <v>11355.0498046875</v>
      </c>
    </row>
    <row r="1117" spans="1:2" x14ac:dyDescent="0.3">
      <c r="A1117" s="99">
        <v>44082</v>
      </c>
      <c r="B1117" s="103">
        <v>11317.349609375</v>
      </c>
    </row>
    <row r="1118" spans="1:2" x14ac:dyDescent="0.3">
      <c r="A1118" s="99">
        <v>44083</v>
      </c>
      <c r="B1118" s="103">
        <v>11278</v>
      </c>
    </row>
    <row r="1119" spans="1:2" x14ac:dyDescent="0.3">
      <c r="A1119" s="99">
        <v>44084</v>
      </c>
      <c r="B1119" s="103">
        <v>11449.25</v>
      </c>
    </row>
    <row r="1120" spans="1:2" x14ac:dyDescent="0.3">
      <c r="A1120" s="99">
        <v>44085</v>
      </c>
      <c r="B1120" s="103">
        <v>11464.4501953125</v>
      </c>
    </row>
    <row r="1121" spans="1:2" x14ac:dyDescent="0.3">
      <c r="A1121" s="99">
        <v>44088</v>
      </c>
      <c r="B1121" s="103">
        <v>11440.0498046875</v>
      </c>
    </row>
    <row r="1122" spans="1:2" x14ac:dyDescent="0.3">
      <c r="A1122" s="99">
        <v>44089</v>
      </c>
      <c r="B1122" s="103">
        <v>11521.7998046875</v>
      </c>
    </row>
    <row r="1123" spans="1:2" x14ac:dyDescent="0.3">
      <c r="A1123" s="99">
        <v>44090</v>
      </c>
      <c r="B1123" s="103">
        <v>11604.5498046875</v>
      </c>
    </row>
    <row r="1124" spans="1:2" x14ac:dyDescent="0.3">
      <c r="A1124" s="99">
        <v>44091</v>
      </c>
      <c r="B1124" s="103">
        <v>11516.099609375</v>
      </c>
    </row>
    <row r="1125" spans="1:2" x14ac:dyDescent="0.3">
      <c r="A1125" s="99">
        <v>44092</v>
      </c>
      <c r="B1125" s="103">
        <v>11504.9501953125</v>
      </c>
    </row>
    <row r="1126" spans="1:2" x14ac:dyDescent="0.3">
      <c r="A1126" s="99">
        <v>44095</v>
      </c>
      <c r="B1126" s="103">
        <v>11250.5498046875</v>
      </c>
    </row>
    <row r="1127" spans="1:2" x14ac:dyDescent="0.3">
      <c r="A1127" s="99">
        <v>44096</v>
      </c>
      <c r="B1127" s="103">
        <v>11153.650390625</v>
      </c>
    </row>
    <row r="1128" spans="1:2" x14ac:dyDescent="0.3">
      <c r="A1128" s="99">
        <v>44097</v>
      </c>
      <c r="B1128" s="103">
        <v>11131.849609375</v>
      </c>
    </row>
    <row r="1129" spans="1:2" x14ac:dyDescent="0.3">
      <c r="A1129" s="99">
        <v>44098</v>
      </c>
      <c r="B1129" s="103">
        <v>10805.5498046875</v>
      </c>
    </row>
    <row r="1130" spans="1:2" x14ac:dyDescent="0.3">
      <c r="A1130" s="99">
        <v>44099</v>
      </c>
      <c r="B1130" s="103">
        <v>11050.25</v>
      </c>
    </row>
    <row r="1131" spans="1:2" x14ac:dyDescent="0.3">
      <c r="A1131" s="99">
        <v>44102</v>
      </c>
      <c r="B1131" s="103">
        <v>11227.5498046875</v>
      </c>
    </row>
    <row r="1132" spans="1:2" x14ac:dyDescent="0.3">
      <c r="A1132" s="99">
        <v>44103</v>
      </c>
      <c r="B1132" s="103">
        <v>11222.400390625</v>
      </c>
    </row>
    <row r="1133" spans="1:2" x14ac:dyDescent="0.3">
      <c r="A1133" s="99">
        <v>44104</v>
      </c>
      <c r="B1133" s="103">
        <v>11247.5498046875</v>
      </c>
    </row>
    <row r="1134" spans="1:2" x14ac:dyDescent="0.3">
      <c r="A1134" s="99">
        <v>44105</v>
      </c>
      <c r="B1134" s="103">
        <v>11416.9501953125</v>
      </c>
    </row>
    <row r="1135" spans="1:2" x14ac:dyDescent="0.3">
      <c r="A1135" s="99">
        <v>44109</v>
      </c>
      <c r="B1135" s="103">
        <v>11503.349609375</v>
      </c>
    </row>
    <row r="1136" spans="1:2" x14ac:dyDescent="0.3">
      <c r="A1136" s="99">
        <v>44110</v>
      </c>
      <c r="B1136" s="103">
        <v>11662.400390625</v>
      </c>
    </row>
    <row r="1137" spans="1:2" x14ac:dyDescent="0.3">
      <c r="A1137" s="99">
        <v>44111</v>
      </c>
      <c r="B1137" s="103">
        <v>11738.849609375</v>
      </c>
    </row>
    <row r="1138" spans="1:2" x14ac:dyDescent="0.3">
      <c r="A1138" s="99">
        <v>44112</v>
      </c>
      <c r="B1138" s="103">
        <v>11834.599609375</v>
      </c>
    </row>
    <row r="1139" spans="1:2" x14ac:dyDescent="0.3">
      <c r="A1139" s="99">
        <v>44113</v>
      </c>
      <c r="B1139" s="103">
        <v>11914.2001953125</v>
      </c>
    </row>
    <row r="1140" spans="1:2" x14ac:dyDescent="0.3">
      <c r="A1140" s="99">
        <v>44116</v>
      </c>
      <c r="B1140" s="103">
        <v>11930.9501953125</v>
      </c>
    </row>
    <row r="1141" spans="1:2" x14ac:dyDescent="0.3">
      <c r="A1141" s="99">
        <v>44117</v>
      </c>
      <c r="B1141" s="103">
        <v>11934.5</v>
      </c>
    </row>
    <row r="1142" spans="1:2" x14ac:dyDescent="0.3">
      <c r="A1142" s="99">
        <v>44118</v>
      </c>
      <c r="B1142" s="103">
        <v>11971.0498046875</v>
      </c>
    </row>
    <row r="1143" spans="1:2" x14ac:dyDescent="0.3">
      <c r="A1143" s="99">
        <v>44119</v>
      </c>
      <c r="B1143" s="103">
        <v>11680.349609375</v>
      </c>
    </row>
    <row r="1144" spans="1:2" x14ac:dyDescent="0.3">
      <c r="A1144" s="99">
        <v>44120</v>
      </c>
      <c r="B1144" s="103">
        <v>11762.4501953125</v>
      </c>
    </row>
    <row r="1145" spans="1:2" x14ac:dyDescent="0.3">
      <c r="A1145" s="99">
        <v>44123</v>
      </c>
      <c r="B1145" s="103">
        <v>11873.0498046875</v>
      </c>
    </row>
    <row r="1146" spans="1:2" x14ac:dyDescent="0.3">
      <c r="A1146" s="99">
        <v>44124</v>
      </c>
      <c r="B1146" s="103">
        <v>11896.7998046875</v>
      </c>
    </row>
    <row r="1147" spans="1:2" x14ac:dyDescent="0.3">
      <c r="A1147" s="99">
        <v>44125</v>
      </c>
      <c r="B1147" s="103">
        <v>11937.650390625</v>
      </c>
    </row>
    <row r="1148" spans="1:2" x14ac:dyDescent="0.3">
      <c r="A1148" s="99">
        <v>44126</v>
      </c>
      <c r="B1148" s="103">
        <v>11896.4501953125</v>
      </c>
    </row>
    <row r="1149" spans="1:2" x14ac:dyDescent="0.3">
      <c r="A1149" s="99">
        <v>44127</v>
      </c>
      <c r="B1149" s="103">
        <v>11930.349609375</v>
      </c>
    </row>
    <row r="1150" spans="1:2" x14ac:dyDescent="0.3">
      <c r="A1150" s="99">
        <v>44130</v>
      </c>
      <c r="B1150" s="103">
        <v>11767.75</v>
      </c>
    </row>
    <row r="1151" spans="1:2" x14ac:dyDescent="0.3">
      <c r="A1151" s="99">
        <v>44131</v>
      </c>
      <c r="B1151" s="103">
        <v>11889.400390625</v>
      </c>
    </row>
    <row r="1152" spans="1:2" x14ac:dyDescent="0.3">
      <c r="A1152" s="99">
        <v>44132</v>
      </c>
      <c r="B1152" s="103">
        <v>11729.599609375</v>
      </c>
    </row>
    <row r="1153" spans="1:2" x14ac:dyDescent="0.3">
      <c r="A1153" s="99">
        <v>44133</v>
      </c>
      <c r="B1153" s="103">
        <v>11670.7998046875</v>
      </c>
    </row>
    <row r="1154" spans="1:2" x14ac:dyDescent="0.3">
      <c r="A1154" s="99">
        <v>44134</v>
      </c>
      <c r="B1154" s="103">
        <v>11642.400390625</v>
      </c>
    </row>
    <row r="1155" spans="1:2" x14ac:dyDescent="0.3">
      <c r="A1155" s="99">
        <v>44137</v>
      </c>
      <c r="B1155" s="103">
        <v>11669.150390625</v>
      </c>
    </row>
    <row r="1156" spans="1:2" x14ac:dyDescent="0.3">
      <c r="A1156" s="99">
        <v>44138</v>
      </c>
      <c r="B1156" s="103">
        <v>11813.5</v>
      </c>
    </row>
    <row r="1157" spans="1:2" x14ac:dyDescent="0.3">
      <c r="A1157" s="99">
        <v>44139</v>
      </c>
      <c r="B1157" s="103">
        <v>11908.5</v>
      </c>
    </row>
    <row r="1158" spans="1:2" x14ac:dyDescent="0.3">
      <c r="A1158" s="99">
        <v>44140</v>
      </c>
      <c r="B1158" s="103">
        <v>12120.2998046875</v>
      </c>
    </row>
    <row r="1159" spans="1:2" x14ac:dyDescent="0.3">
      <c r="A1159" s="99">
        <v>44141</v>
      </c>
      <c r="B1159" s="103">
        <v>12263.5498046875</v>
      </c>
    </row>
    <row r="1160" spans="1:2" x14ac:dyDescent="0.3">
      <c r="A1160" s="99">
        <v>44144</v>
      </c>
      <c r="B1160" s="103">
        <v>12461.0498046875</v>
      </c>
    </row>
    <row r="1161" spans="1:2" x14ac:dyDescent="0.3">
      <c r="A1161" s="99">
        <v>44145</v>
      </c>
      <c r="B1161" s="103">
        <v>12631.099609375</v>
      </c>
    </row>
    <row r="1162" spans="1:2" x14ac:dyDescent="0.3">
      <c r="A1162" s="99">
        <v>44146</v>
      </c>
      <c r="B1162" s="103">
        <v>12749.150390625</v>
      </c>
    </row>
    <row r="1163" spans="1:2" x14ac:dyDescent="0.3">
      <c r="A1163" s="99">
        <v>44147</v>
      </c>
      <c r="B1163" s="103">
        <v>12690.7998046875</v>
      </c>
    </row>
    <row r="1164" spans="1:2" x14ac:dyDescent="0.3">
      <c r="A1164" s="99">
        <v>44148</v>
      </c>
      <c r="B1164" s="103">
        <v>12719.9501953125</v>
      </c>
    </row>
    <row r="1165" spans="1:2" x14ac:dyDescent="0.3">
      <c r="A1165" s="99">
        <v>44152</v>
      </c>
      <c r="B1165" s="103">
        <v>12874.2001953125</v>
      </c>
    </row>
    <row r="1166" spans="1:2" x14ac:dyDescent="0.3">
      <c r="A1166" s="99">
        <v>44153</v>
      </c>
      <c r="B1166" s="103">
        <v>12938.25</v>
      </c>
    </row>
    <row r="1167" spans="1:2" x14ac:dyDescent="0.3">
      <c r="A1167" s="99">
        <v>44154</v>
      </c>
      <c r="B1167" s="103">
        <v>12771.7001953125</v>
      </c>
    </row>
    <row r="1168" spans="1:2" x14ac:dyDescent="0.3">
      <c r="A1168" s="99">
        <v>44155</v>
      </c>
      <c r="B1168" s="103">
        <v>12859.0498046875</v>
      </c>
    </row>
    <row r="1169" spans="1:2" x14ac:dyDescent="0.3">
      <c r="A1169" s="99">
        <v>44158</v>
      </c>
      <c r="B1169" s="103">
        <v>12926.4501953125</v>
      </c>
    </row>
    <row r="1170" spans="1:2" x14ac:dyDescent="0.3">
      <c r="A1170" s="99">
        <v>44159</v>
      </c>
      <c r="B1170" s="103">
        <v>13055.150390625</v>
      </c>
    </row>
    <row r="1171" spans="1:2" x14ac:dyDescent="0.3">
      <c r="A1171" s="99">
        <v>44160</v>
      </c>
      <c r="B1171" s="103">
        <v>12858.400390625</v>
      </c>
    </row>
    <row r="1172" spans="1:2" x14ac:dyDescent="0.3">
      <c r="A1172" s="99">
        <v>44161</v>
      </c>
      <c r="B1172" s="103">
        <v>12987</v>
      </c>
    </row>
    <row r="1173" spans="1:2" x14ac:dyDescent="0.3">
      <c r="A1173" s="99">
        <v>44162</v>
      </c>
      <c r="B1173" s="103">
        <v>12968.9501953125</v>
      </c>
    </row>
    <row r="1174" spans="1:2" x14ac:dyDescent="0.3">
      <c r="A1174" s="99">
        <v>44166</v>
      </c>
      <c r="B1174" s="103">
        <v>13109.0498046875</v>
      </c>
    </row>
    <row r="1175" spans="1:2" x14ac:dyDescent="0.3">
      <c r="A1175" s="99">
        <v>44167</v>
      </c>
      <c r="B1175" s="103">
        <v>13113.75</v>
      </c>
    </row>
    <row r="1176" spans="1:2" x14ac:dyDescent="0.3">
      <c r="A1176" s="99">
        <v>44168</v>
      </c>
      <c r="B1176" s="103">
        <v>13133.900390625</v>
      </c>
    </row>
    <row r="1177" spans="1:2" x14ac:dyDescent="0.3">
      <c r="A1177" s="99">
        <v>44169</v>
      </c>
      <c r="B1177" s="103">
        <v>13258.5498046875</v>
      </c>
    </row>
    <row r="1178" spans="1:2" x14ac:dyDescent="0.3">
      <c r="A1178" s="99">
        <v>44172</v>
      </c>
      <c r="B1178" s="103">
        <v>13355.75</v>
      </c>
    </row>
    <row r="1179" spans="1:2" x14ac:dyDescent="0.3">
      <c r="A1179" s="99">
        <v>44173</v>
      </c>
      <c r="B1179" s="103">
        <v>13392.9501953125</v>
      </c>
    </row>
    <row r="1180" spans="1:2" x14ac:dyDescent="0.3">
      <c r="A1180" s="99">
        <v>44174</v>
      </c>
      <c r="B1180" s="103">
        <v>13529.099609375</v>
      </c>
    </row>
    <row r="1181" spans="1:2" x14ac:dyDescent="0.3">
      <c r="A1181" s="99">
        <v>44175</v>
      </c>
      <c r="B1181" s="103">
        <v>13478.2998046875</v>
      </c>
    </row>
    <row r="1182" spans="1:2" x14ac:dyDescent="0.3">
      <c r="A1182" s="99">
        <v>44176</v>
      </c>
      <c r="B1182" s="103">
        <v>13513.849609375</v>
      </c>
    </row>
    <row r="1183" spans="1:2" x14ac:dyDescent="0.3">
      <c r="A1183" s="99">
        <v>44179</v>
      </c>
      <c r="B1183" s="103">
        <v>13558.150390625</v>
      </c>
    </row>
    <row r="1184" spans="1:2" x14ac:dyDescent="0.3">
      <c r="A1184" s="99">
        <v>44180</v>
      </c>
      <c r="B1184" s="103">
        <v>13567.849609375</v>
      </c>
    </row>
    <row r="1185" spans="1:2" x14ac:dyDescent="0.3">
      <c r="A1185" s="99">
        <v>44181</v>
      </c>
      <c r="B1185" s="103">
        <v>13682.7001953125</v>
      </c>
    </row>
    <row r="1186" spans="1:2" x14ac:dyDescent="0.3">
      <c r="A1186" s="99">
        <v>44182</v>
      </c>
      <c r="B1186" s="103">
        <v>13740.7001953125</v>
      </c>
    </row>
    <row r="1187" spans="1:2" x14ac:dyDescent="0.3">
      <c r="A1187" s="99">
        <v>44183</v>
      </c>
      <c r="B1187" s="103">
        <v>13760.5498046875</v>
      </c>
    </row>
    <row r="1188" spans="1:2" x14ac:dyDescent="0.3">
      <c r="A1188" s="99">
        <v>44186</v>
      </c>
      <c r="B1188" s="103">
        <v>13328.400390625</v>
      </c>
    </row>
    <row r="1189" spans="1:2" x14ac:dyDescent="0.3">
      <c r="A1189" s="99">
        <v>44187</v>
      </c>
      <c r="B1189" s="103">
        <v>13466.2998046875</v>
      </c>
    </row>
    <row r="1190" spans="1:2" x14ac:dyDescent="0.3">
      <c r="A1190" s="99">
        <v>44188</v>
      </c>
      <c r="B1190" s="103">
        <v>13601.099609375</v>
      </c>
    </row>
    <row r="1191" spans="1:2" x14ac:dyDescent="0.3">
      <c r="A1191" s="99">
        <v>44189</v>
      </c>
      <c r="B1191" s="103">
        <v>13749.25</v>
      </c>
    </row>
    <row r="1192" spans="1:2" x14ac:dyDescent="0.3">
      <c r="A1192" s="99">
        <v>44193</v>
      </c>
      <c r="B1192" s="103">
        <v>13873.2001953125</v>
      </c>
    </row>
    <row r="1193" spans="1:2" x14ac:dyDescent="0.3">
      <c r="A1193" s="99">
        <v>44194</v>
      </c>
      <c r="B1193" s="103">
        <v>13932.599609375</v>
      </c>
    </row>
    <row r="1194" spans="1:2" x14ac:dyDescent="0.3">
      <c r="A1194" s="99">
        <v>44195</v>
      </c>
      <c r="B1194" s="103">
        <v>13981.9501953125</v>
      </c>
    </row>
    <row r="1195" spans="1:2" x14ac:dyDescent="0.3">
      <c r="A1195" s="99">
        <v>44196</v>
      </c>
      <c r="B1195" s="103">
        <v>13981.75</v>
      </c>
    </row>
    <row r="1196" spans="1:2" x14ac:dyDescent="0.3">
      <c r="A1196" s="99">
        <v>44197</v>
      </c>
      <c r="B1196" s="103">
        <v>14018.5</v>
      </c>
    </row>
    <row r="1197" spans="1:2" x14ac:dyDescent="0.3">
      <c r="A1197" s="99">
        <v>44200</v>
      </c>
      <c r="B1197" s="103">
        <v>14132.900390625</v>
      </c>
    </row>
    <row r="1198" spans="1:2" x14ac:dyDescent="0.3">
      <c r="A1198" s="99">
        <v>44201</v>
      </c>
      <c r="B1198" s="103">
        <v>14199.5</v>
      </c>
    </row>
    <row r="1199" spans="1:2" x14ac:dyDescent="0.3">
      <c r="A1199" s="99">
        <v>44202</v>
      </c>
      <c r="B1199" s="103">
        <v>14146.25</v>
      </c>
    </row>
    <row r="1200" spans="1:2" x14ac:dyDescent="0.3">
      <c r="A1200" s="99">
        <v>44203</v>
      </c>
      <c r="B1200" s="103">
        <v>14137.349609375</v>
      </c>
    </row>
    <row r="1201" spans="1:2" x14ac:dyDescent="0.3">
      <c r="A1201" s="99">
        <v>44204</v>
      </c>
      <c r="B1201" s="103">
        <v>14347.25</v>
      </c>
    </row>
    <row r="1202" spans="1:2" x14ac:dyDescent="0.3">
      <c r="A1202" s="99">
        <v>44207</v>
      </c>
      <c r="B1202" s="103">
        <v>14484.75</v>
      </c>
    </row>
    <row r="1203" spans="1:2" x14ac:dyDescent="0.3">
      <c r="A1203" s="99">
        <v>44208</v>
      </c>
      <c r="B1203" s="103">
        <v>14563.4501953125</v>
      </c>
    </row>
    <row r="1204" spans="1:2" x14ac:dyDescent="0.3">
      <c r="A1204" s="99">
        <v>44209</v>
      </c>
      <c r="B1204" s="103">
        <v>14564.849609375</v>
      </c>
    </row>
    <row r="1205" spans="1:2" x14ac:dyDescent="0.3">
      <c r="A1205" s="99">
        <v>44210</v>
      </c>
      <c r="B1205" s="103">
        <v>14595.599609375</v>
      </c>
    </row>
    <row r="1206" spans="1:2" x14ac:dyDescent="0.3">
      <c r="A1206" s="99">
        <v>44211</v>
      </c>
      <c r="B1206" s="103">
        <v>14433.7001953125</v>
      </c>
    </row>
    <row r="1207" spans="1:2" x14ac:dyDescent="0.3">
      <c r="A1207" s="99">
        <v>44214</v>
      </c>
      <c r="B1207" s="103">
        <v>14281.2998046875</v>
      </c>
    </row>
    <row r="1208" spans="1:2" x14ac:dyDescent="0.3">
      <c r="A1208" s="99">
        <v>44215</v>
      </c>
      <c r="B1208" s="103">
        <v>14521.150390625</v>
      </c>
    </row>
    <row r="1209" spans="1:2" x14ac:dyDescent="0.3">
      <c r="A1209" s="99">
        <v>44216</v>
      </c>
      <c r="B1209" s="103">
        <v>14644.7001953125</v>
      </c>
    </row>
    <row r="1210" spans="1:2" x14ac:dyDescent="0.3">
      <c r="A1210" s="99">
        <v>44217</v>
      </c>
      <c r="B1210" s="103">
        <v>14590.349609375</v>
      </c>
    </row>
    <row r="1211" spans="1:2" x14ac:dyDescent="0.3">
      <c r="A1211" s="99">
        <v>44218</v>
      </c>
      <c r="B1211" s="103">
        <v>14371.900390625</v>
      </c>
    </row>
    <row r="1212" spans="1:2" x14ac:dyDescent="0.3">
      <c r="A1212" s="99">
        <v>44221</v>
      </c>
      <c r="B1212" s="103">
        <v>14238.900390625</v>
      </c>
    </row>
    <row r="1213" spans="1:2" x14ac:dyDescent="0.3">
      <c r="A1213" s="99">
        <v>44223</v>
      </c>
      <c r="B1213" s="103">
        <v>13967.5</v>
      </c>
    </row>
    <row r="1214" spans="1:2" x14ac:dyDescent="0.3">
      <c r="A1214" s="99">
        <v>44224</v>
      </c>
      <c r="B1214" s="103">
        <v>13817.5498046875</v>
      </c>
    </row>
    <row r="1215" spans="1:2" x14ac:dyDescent="0.3">
      <c r="A1215" s="99">
        <v>44225</v>
      </c>
      <c r="B1215" s="103">
        <v>13634.599609375</v>
      </c>
    </row>
    <row r="1216" spans="1:2" x14ac:dyDescent="0.3">
      <c r="A1216" s="99">
        <v>44228</v>
      </c>
      <c r="B1216" s="103">
        <v>14281.2001953125</v>
      </c>
    </row>
    <row r="1217" spans="1:2" x14ac:dyDescent="0.3">
      <c r="A1217" s="99">
        <v>44229</v>
      </c>
      <c r="B1217" s="103">
        <v>14647.849609375</v>
      </c>
    </row>
    <row r="1218" spans="1:2" x14ac:dyDescent="0.3">
      <c r="A1218" s="99">
        <v>44230</v>
      </c>
      <c r="B1218" s="103">
        <v>14789.9501953125</v>
      </c>
    </row>
    <row r="1219" spans="1:2" x14ac:dyDescent="0.3">
      <c r="A1219" s="99">
        <v>44231</v>
      </c>
      <c r="B1219" s="103">
        <v>14895.650390625</v>
      </c>
    </row>
    <row r="1220" spans="1:2" x14ac:dyDescent="0.3">
      <c r="A1220" s="99">
        <v>44232</v>
      </c>
      <c r="B1220" s="103">
        <v>14924.25</v>
      </c>
    </row>
    <row r="1221" spans="1:2" x14ac:dyDescent="0.3">
      <c r="A1221" s="99">
        <v>44235</v>
      </c>
      <c r="B1221" s="103">
        <v>15115.7998046875</v>
      </c>
    </row>
    <row r="1222" spans="1:2" x14ac:dyDescent="0.3">
      <c r="A1222" s="99">
        <v>44236</v>
      </c>
      <c r="B1222" s="103">
        <v>15109.2998046875</v>
      </c>
    </row>
    <row r="1223" spans="1:2" x14ac:dyDescent="0.3">
      <c r="A1223" s="99">
        <v>44237</v>
      </c>
      <c r="B1223" s="103">
        <v>15106.5</v>
      </c>
    </row>
    <row r="1224" spans="1:2" x14ac:dyDescent="0.3">
      <c r="A1224" s="99">
        <v>44238</v>
      </c>
      <c r="B1224" s="103">
        <v>15173.2998046875</v>
      </c>
    </row>
    <row r="1225" spans="1:2" x14ac:dyDescent="0.3">
      <c r="A1225" s="99">
        <v>44239</v>
      </c>
      <c r="B1225" s="103">
        <v>15163.2998046875</v>
      </c>
    </row>
    <row r="1226" spans="1:2" x14ac:dyDescent="0.3">
      <c r="A1226" s="99">
        <v>44242</v>
      </c>
      <c r="B1226" s="103">
        <v>15314.7001953125</v>
      </c>
    </row>
    <row r="1227" spans="1:2" x14ac:dyDescent="0.3">
      <c r="A1227" s="99">
        <v>44243</v>
      </c>
      <c r="B1227" s="103">
        <v>15313.4501953125</v>
      </c>
    </row>
    <row r="1228" spans="1:2" x14ac:dyDescent="0.3">
      <c r="A1228" s="99">
        <v>44244</v>
      </c>
      <c r="B1228" s="103">
        <v>15208.900390625</v>
      </c>
    </row>
    <row r="1229" spans="1:2" x14ac:dyDescent="0.3">
      <c r="A1229" s="99">
        <v>44245</v>
      </c>
      <c r="B1229" s="103">
        <v>15118.9501953125</v>
      </c>
    </row>
    <row r="1230" spans="1:2" x14ac:dyDescent="0.3">
      <c r="A1230" s="99">
        <v>44246</v>
      </c>
      <c r="B1230" s="103">
        <v>14981.75</v>
      </c>
    </row>
    <row r="1231" spans="1:2" x14ac:dyDescent="0.3">
      <c r="A1231" s="99">
        <v>44249</v>
      </c>
      <c r="B1231" s="103">
        <v>14675.7001953125</v>
      </c>
    </row>
    <row r="1232" spans="1:2" x14ac:dyDescent="0.3">
      <c r="A1232" s="99">
        <v>44250</v>
      </c>
      <c r="B1232" s="103">
        <v>14707.7998046875</v>
      </c>
    </row>
    <row r="1233" spans="1:2" x14ac:dyDescent="0.3">
      <c r="A1233" s="99">
        <v>44251</v>
      </c>
      <c r="B1233" s="103">
        <v>14982</v>
      </c>
    </row>
    <row r="1234" spans="1:2" x14ac:dyDescent="0.3">
      <c r="A1234" s="99">
        <v>44252</v>
      </c>
      <c r="B1234" s="103">
        <v>15097.349609375</v>
      </c>
    </row>
    <row r="1235" spans="1:2" x14ac:dyDescent="0.3">
      <c r="A1235" s="99">
        <v>44253</v>
      </c>
      <c r="B1235" s="103">
        <v>14529.150390625</v>
      </c>
    </row>
    <row r="1236" spans="1:2" x14ac:dyDescent="0.3">
      <c r="A1236" s="99">
        <v>44256</v>
      </c>
      <c r="B1236" s="103">
        <v>14761.5498046875</v>
      </c>
    </row>
    <row r="1237" spans="1:2" x14ac:dyDescent="0.3">
      <c r="A1237" s="99">
        <v>44257</v>
      </c>
      <c r="B1237" s="103">
        <v>14919.099609375</v>
      </c>
    </row>
    <row r="1238" spans="1:2" x14ac:dyDescent="0.3">
      <c r="A1238" s="99">
        <v>44258</v>
      </c>
      <c r="B1238" s="103">
        <v>15245.599609375</v>
      </c>
    </row>
    <row r="1239" spans="1:2" x14ac:dyDescent="0.3">
      <c r="A1239" s="99">
        <v>44259</v>
      </c>
      <c r="B1239" s="103">
        <v>15080.75</v>
      </c>
    </row>
    <row r="1240" spans="1:2" x14ac:dyDescent="0.3">
      <c r="A1240" s="99">
        <v>44260</v>
      </c>
      <c r="B1240" s="103">
        <v>14938.099609375</v>
      </c>
    </row>
    <row r="1241" spans="1:2" x14ac:dyDescent="0.3">
      <c r="A1241" s="99">
        <v>44263</v>
      </c>
      <c r="B1241" s="103">
        <v>14956.2001953125</v>
      </c>
    </row>
    <row r="1242" spans="1:2" x14ac:dyDescent="0.3">
      <c r="A1242" s="99">
        <v>44264</v>
      </c>
      <c r="B1242" s="103">
        <v>15098.400390625</v>
      </c>
    </row>
    <row r="1243" spans="1:2" x14ac:dyDescent="0.3">
      <c r="A1243" s="99">
        <v>44265</v>
      </c>
      <c r="B1243" s="103">
        <v>15174.7998046875</v>
      </c>
    </row>
    <row r="1244" spans="1:2" x14ac:dyDescent="0.3">
      <c r="A1244" s="99">
        <v>44267</v>
      </c>
      <c r="B1244" s="103">
        <v>15030.9501953125</v>
      </c>
    </row>
    <row r="1245" spans="1:2" x14ac:dyDescent="0.3">
      <c r="A1245" s="99">
        <v>44270</v>
      </c>
      <c r="B1245" s="103">
        <v>14929.5</v>
      </c>
    </row>
    <row r="1246" spans="1:2" x14ac:dyDescent="0.3">
      <c r="A1246" s="99">
        <v>44271</v>
      </c>
      <c r="B1246" s="103">
        <v>14910.4501953125</v>
      </c>
    </row>
    <row r="1247" spans="1:2" x14ac:dyDescent="0.3">
      <c r="A1247" s="99">
        <v>44272</v>
      </c>
      <c r="B1247" s="103">
        <v>14721.2998046875</v>
      </c>
    </row>
    <row r="1248" spans="1:2" x14ac:dyDescent="0.3">
      <c r="A1248" s="99">
        <v>44273</v>
      </c>
      <c r="B1248" s="103">
        <v>14557.849609375</v>
      </c>
    </row>
    <row r="1249" spans="1:2" x14ac:dyDescent="0.3">
      <c r="A1249" s="99">
        <v>44274</v>
      </c>
      <c r="B1249" s="103">
        <v>14744</v>
      </c>
    </row>
    <row r="1250" spans="1:2" x14ac:dyDescent="0.3">
      <c r="A1250" s="99">
        <v>44277</v>
      </c>
      <c r="B1250" s="103">
        <v>14736.400390625</v>
      </c>
    </row>
    <row r="1251" spans="1:2" x14ac:dyDescent="0.3">
      <c r="A1251" s="99">
        <v>44278</v>
      </c>
      <c r="B1251" s="103">
        <v>14814.75</v>
      </c>
    </row>
    <row r="1252" spans="1:2" x14ac:dyDescent="0.3">
      <c r="A1252" s="99">
        <v>44279</v>
      </c>
      <c r="B1252" s="103">
        <v>14549.400390625</v>
      </c>
    </row>
    <row r="1253" spans="1:2" x14ac:dyDescent="0.3">
      <c r="A1253" s="99">
        <v>44280</v>
      </c>
      <c r="B1253" s="103">
        <v>14324.900390625</v>
      </c>
    </row>
    <row r="1254" spans="1:2" x14ac:dyDescent="0.3">
      <c r="A1254" s="99">
        <v>44281</v>
      </c>
      <c r="B1254" s="103">
        <v>14507.2998046875</v>
      </c>
    </row>
    <row r="1255" spans="1:2" x14ac:dyDescent="0.3">
      <c r="A1255" s="99">
        <v>44285</v>
      </c>
      <c r="B1255" s="103">
        <v>14845.099609375</v>
      </c>
    </row>
    <row r="1256" spans="1:2" x14ac:dyDescent="0.3">
      <c r="A1256" s="99">
        <v>44286</v>
      </c>
      <c r="B1256" s="103">
        <v>14690.7001953125</v>
      </c>
    </row>
    <row r="1257" spans="1:2" x14ac:dyDescent="0.3">
      <c r="A1257" s="99">
        <v>44287</v>
      </c>
      <c r="B1257" s="103">
        <v>14867.349609375</v>
      </c>
    </row>
    <row r="1258" spans="1:2" x14ac:dyDescent="0.3">
      <c r="A1258" s="99">
        <v>44291</v>
      </c>
      <c r="B1258" s="103">
        <v>14637.7998046875</v>
      </c>
    </row>
    <row r="1259" spans="1:2" x14ac:dyDescent="0.3">
      <c r="A1259" s="99">
        <v>44292</v>
      </c>
      <c r="B1259" s="103">
        <v>14683.5</v>
      </c>
    </row>
    <row r="1260" spans="1:2" x14ac:dyDescent="0.3">
      <c r="A1260" s="99">
        <v>44293</v>
      </c>
      <c r="B1260" s="103">
        <v>14819.0498046875</v>
      </c>
    </row>
    <row r="1261" spans="1:2" x14ac:dyDescent="0.3">
      <c r="A1261" s="99">
        <v>44294</v>
      </c>
      <c r="B1261" s="103">
        <v>14873.7998046875</v>
      </c>
    </row>
    <row r="1262" spans="1:2" x14ac:dyDescent="0.3">
      <c r="A1262" s="99">
        <v>44295</v>
      </c>
      <c r="B1262" s="103">
        <v>14834.849609375</v>
      </c>
    </row>
    <row r="1263" spans="1:2" x14ac:dyDescent="0.3">
      <c r="A1263" s="99">
        <v>44298</v>
      </c>
      <c r="B1263" s="103">
        <v>14310.7998046875</v>
      </c>
    </row>
    <row r="1264" spans="1:2" x14ac:dyDescent="0.3">
      <c r="A1264" s="99">
        <v>44299</v>
      </c>
      <c r="B1264" s="103">
        <v>14504.7998046875</v>
      </c>
    </row>
    <row r="1265" spans="1:2" x14ac:dyDescent="0.3">
      <c r="A1265" s="99">
        <v>44301</v>
      </c>
      <c r="B1265" s="103">
        <v>14581.4501953125</v>
      </c>
    </row>
    <row r="1266" spans="1:2" x14ac:dyDescent="0.3">
      <c r="A1266" s="99">
        <v>44302</v>
      </c>
      <c r="B1266" s="103">
        <v>14617.849609375</v>
      </c>
    </row>
    <row r="1267" spans="1:2" x14ac:dyDescent="0.3">
      <c r="A1267" s="99">
        <v>44305</v>
      </c>
      <c r="B1267" s="103">
        <v>14359.4501953125</v>
      </c>
    </row>
    <row r="1268" spans="1:2" x14ac:dyDescent="0.3">
      <c r="A1268" s="99">
        <v>44306</v>
      </c>
      <c r="B1268" s="103">
        <v>14296.400390625</v>
      </c>
    </row>
    <row r="1269" spans="1:2" x14ac:dyDescent="0.3">
      <c r="A1269" s="99">
        <v>44308</v>
      </c>
      <c r="B1269" s="103">
        <v>14406.150390625</v>
      </c>
    </row>
    <row r="1270" spans="1:2" x14ac:dyDescent="0.3">
      <c r="A1270" s="99">
        <v>44309</v>
      </c>
      <c r="B1270" s="103">
        <v>14341.349609375</v>
      </c>
    </row>
    <row r="1271" spans="1:2" x14ac:dyDescent="0.3">
      <c r="A1271" s="99">
        <v>44312</v>
      </c>
      <c r="B1271" s="103">
        <v>14485</v>
      </c>
    </row>
    <row r="1272" spans="1:2" x14ac:dyDescent="0.3">
      <c r="A1272" s="99">
        <v>44313</v>
      </c>
      <c r="B1272" s="103">
        <v>14653.0498046875</v>
      </c>
    </row>
    <row r="1273" spans="1:2" x14ac:dyDescent="0.3">
      <c r="A1273" s="99">
        <v>44314</v>
      </c>
      <c r="B1273" s="103">
        <v>14864.5498046875</v>
      </c>
    </row>
    <row r="1274" spans="1:2" x14ac:dyDescent="0.3">
      <c r="A1274" s="99">
        <v>44315</v>
      </c>
      <c r="B1274" s="103">
        <v>14894.900390625</v>
      </c>
    </row>
    <row r="1275" spans="1:2" x14ac:dyDescent="0.3">
      <c r="A1275" s="99">
        <v>44316</v>
      </c>
      <c r="B1275" s="103">
        <v>14631.099609375</v>
      </c>
    </row>
    <row r="1276" spans="1:2" x14ac:dyDescent="0.3">
      <c r="A1276" s="99">
        <v>44319</v>
      </c>
      <c r="B1276" s="103">
        <v>14634.150390625</v>
      </c>
    </row>
    <row r="1277" spans="1:2" x14ac:dyDescent="0.3">
      <c r="A1277" s="99">
        <v>44320</v>
      </c>
      <c r="B1277" s="103">
        <v>14496.5</v>
      </c>
    </row>
    <row r="1278" spans="1:2" x14ac:dyDescent="0.3">
      <c r="A1278" s="99">
        <v>44321</v>
      </c>
      <c r="B1278" s="103">
        <v>14617.849609375</v>
      </c>
    </row>
    <row r="1279" spans="1:2" x14ac:dyDescent="0.3">
      <c r="A1279" s="99">
        <v>44322</v>
      </c>
      <c r="B1279" s="103">
        <v>14724.7998046875</v>
      </c>
    </row>
    <row r="1280" spans="1:2" x14ac:dyDescent="0.3">
      <c r="A1280" s="99">
        <v>44323</v>
      </c>
      <c r="B1280" s="103">
        <v>14823.150390625</v>
      </c>
    </row>
    <row r="1281" spans="1:2" x14ac:dyDescent="0.3">
      <c r="A1281" s="99">
        <v>44326</v>
      </c>
      <c r="B1281" s="103">
        <v>14942.349609375</v>
      </c>
    </row>
    <row r="1282" spans="1:2" x14ac:dyDescent="0.3">
      <c r="A1282" s="99">
        <v>44327</v>
      </c>
      <c r="B1282" s="103">
        <v>14850.75</v>
      </c>
    </row>
    <row r="1283" spans="1:2" x14ac:dyDescent="0.3">
      <c r="A1283" s="99">
        <v>44328</v>
      </c>
      <c r="B1283" s="103">
        <v>14696.5</v>
      </c>
    </row>
    <row r="1284" spans="1:2" x14ac:dyDescent="0.3">
      <c r="A1284" s="99">
        <v>44330</v>
      </c>
      <c r="B1284" s="103">
        <v>14677.7998046875</v>
      </c>
    </row>
    <row r="1285" spans="1:2" x14ac:dyDescent="0.3">
      <c r="A1285" s="99">
        <v>44333</v>
      </c>
      <c r="B1285" s="103">
        <v>14923.150390625</v>
      </c>
    </row>
    <row r="1286" spans="1:2" x14ac:dyDescent="0.3">
      <c r="A1286" s="99">
        <v>44334</v>
      </c>
      <c r="B1286" s="103">
        <v>15108.099609375</v>
      </c>
    </row>
    <row r="1287" spans="1:2" x14ac:dyDescent="0.3">
      <c r="A1287" s="99">
        <v>44335</v>
      </c>
      <c r="B1287" s="103">
        <v>15030.150390625</v>
      </c>
    </row>
    <row r="1288" spans="1:2" x14ac:dyDescent="0.3">
      <c r="A1288" s="99">
        <v>44336</v>
      </c>
      <c r="B1288" s="103">
        <v>14906.0498046875</v>
      </c>
    </row>
    <row r="1289" spans="1:2" x14ac:dyDescent="0.3">
      <c r="A1289" s="99">
        <v>44337</v>
      </c>
      <c r="B1289" s="103">
        <v>15175.2998046875</v>
      </c>
    </row>
    <row r="1290" spans="1:2" x14ac:dyDescent="0.3">
      <c r="A1290" s="99">
        <v>44340</v>
      </c>
      <c r="B1290" s="103">
        <v>15197.7001953125</v>
      </c>
    </row>
    <row r="1291" spans="1:2" x14ac:dyDescent="0.3">
      <c r="A1291" s="99">
        <v>44341</v>
      </c>
      <c r="B1291" s="103">
        <v>15208.4501953125</v>
      </c>
    </row>
    <row r="1292" spans="1:2" x14ac:dyDescent="0.3">
      <c r="A1292" s="99">
        <v>44342</v>
      </c>
      <c r="B1292" s="103">
        <v>15301.4501953125</v>
      </c>
    </row>
    <row r="1293" spans="1:2" x14ac:dyDescent="0.3">
      <c r="A1293" s="99">
        <v>44343</v>
      </c>
      <c r="B1293" s="103">
        <v>15337.849609375</v>
      </c>
    </row>
    <row r="1294" spans="1:2" x14ac:dyDescent="0.3">
      <c r="A1294" s="99">
        <v>44344</v>
      </c>
      <c r="B1294" s="103">
        <v>15435.650390625</v>
      </c>
    </row>
    <row r="1295" spans="1:2" x14ac:dyDescent="0.3">
      <c r="A1295" s="99">
        <v>44347</v>
      </c>
      <c r="B1295" s="103">
        <v>15582.7998046875</v>
      </c>
    </row>
    <row r="1296" spans="1:2" x14ac:dyDescent="0.3">
      <c r="A1296" s="99">
        <v>44348</v>
      </c>
      <c r="B1296" s="103">
        <v>15574.849609375</v>
      </c>
    </row>
    <row r="1297" spans="1:2" x14ac:dyDescent="0.3">
      <c r="A1297" s="99">
        <v>44349</v>
      </c>
      <c r="B1297" s="103">
        <v>15576.2001953125</v>
      </c>
    </row>
    <row r="1298" spans="1:2" x14ac:dyDescent="0.3">
      <c r="A1298" s="99">
        <v>44350</v>
      </c>
      <c r="B1298" s="103">
        <v>15690.349609375</v>
      </c>
    </row>
    <row r="1299" spans="1:2" x14ac:dyDescent="0.3">
      <c r="A1299" s="99">
        <v>44351</v>
      </c>
      <c r="B1299" s="103">
        <v>15670.25</v>
      </c>
    </row>
    <row r="1300" spans="1:2" x14ac:dyDescent="0.3">
      <c r="A1300" s="99">
        <v>44354</v>
      </c>
      <c r="B1300" s="103">
        <v>15751.650390625</v>
      </c>
    </row>
    <row r="1301" spans="1:2" x14ac:dyDescent="0.3">
      <c r="A1301" s="99">
        <v>44355</v>
      </c>
      <c r="B1301" s="103">
        <v>15740.099609375</v>
      </c>
    </row>
    <row r="1302" spans="1:2" x14ac:dyDescent="0.3">
      <c r="A1302" s="99">
        <v>44356</v>
      </c>
      <c r="B1302" s="103">
        <v>15635.349609375</v>
      </c>
    </row>
    <row r="1303" spans="1:2" x14ac:dyDescent="0.3">
      <c r="A1303" s="99">
        <v>44357</v>
      </c>
      <c r="B1303" s="103">
        <v>15737.75</v>
      </c>
    </row>
    <row r="1304" spans="1:2" x14ac:dyDescent="0.3">
      <c r="A1304" s="99">
        <v>44358</v>
      </c>
      <c r="B1304" s="103">
        <v>15799.349609375</v>
      </c>
    </row>
    <row r="1305" spans="1:2" x14ac:dyDescent="0.3">
      <c r="A1305" s="99">
        <v>44361</v>
      </c>
      <c r="B1305" s="103">
        <v>15811.849609375</v>
      </c>
    </row>
    <row r="1306" spans="1:2" x14ac:dyDescent="0.3">
      <c r="A1306" s="99">
        <v>44362</v>
      </c>
      <c r="B1306" s="103">
        <v>15869.25</v>
      </c>
    </row>
    <row r="1307" spans="1:2" x14ac:dyDescent="0.3">
      <c r="A1307" s="99">
        <v>44363</v>
      </c>
      <c r="B1307" s="103">
        <v>15767.5498046875</v>
      </c>
    </row>
    <row r="1308" spans="1:2" x14ac:dyDescent="0.3">
      <c r="A1308" s="99">
        <v>44364</v>
      </c>
      <c r="B1308" s="103">
        <v>15691.400390625</v>
      </c>
    </row>
    <row r="1309" spans="1:2" x14ac:dyDescent="0.3">
      <c r="A1309" s="99">
        <v>44365</v>
      </c>
      <c r="B1309" s="103">
        <v>15683.349609375</v>
      </c>
    </row>
    <row r="1310" spans="1:2" x14ac:dyDescent="0.3">
      <c r="A1310" s="99">
        <v>44368</v>
      </c>
      <c r="B1310" s="103">
        <v>15746.5</v>
      </c>
    </row>
    <row r="1311" spans="1:2" x14ac:dyDescent="0.3">
      <c r="A1311" s="99">
        <v>44369</v>
      </c>
      <c r="B1311" s="103">
        <v>15772.75</v>
      </c>
    </row>
    <row r="1312" spans="1:2" x14ac:dyDescent="0.3">
      <c r="A1312" s="99">
        <v>44370</v>
      </c>
      <c r="B1312" s="103">
        <v>15686.9501953125</v>
      </c>
    </row>
    <row r="1313" spans="1:2" x14ac:dyDescent="0.3">
      <c r="A1313" s="99">
        <v>44371</v>
      </c>
      <c r="B1313" s="103">
        <v>15790.4501953125</v>
      </c>
    </row>
    <row r="1314" spans="1:2" x14ac:dyDescent="0.3">
      <c r="A1314" s="99">
        <v>44372</v>
      </c>
      <c r="B1314" s="103">
        <v>15860.349609375</v>
      </c>
    </row>
    <row r="1315" spans="1:2" x14ac:dyDescent="0.3">
      <c r="A1315" s="99">
        <v>44375</v>
      </c>
      <c r="B1315" s="103">
        <v>15814.7001953125</v>
      </c>
    </row>
    <row r="1316" spans="1:2" x14ac:dyDescent="0.3">
      <c r="A1316" s="99">
        <v>44376</v>
      </c>
      <c r="B1316" s="103">
        <v>15748.4501953125</v>
      </c>
    </row>
    <row r="1317" spans="1:2" x14ac:dyDescent="0.3">
      <c r="A1317" s="99">
        <v>44377</v>
      </c>
      <c r="B1317" s="103">
        <v>15721.5</v>
      </c>
    </row>
    <row r="1318" spans="1:2" x14ac:dyDescent="0.3">
      <c r="A1318" s="99">
        <v>44378</v>
      </c>
      <c r="B1318" s="103">
        <v>15680</v>
      </c>
    </row>
    <row r="1319" spans="1:2" x14ac:dyDescent="0.3">
      <c r="A1319" s="99">
        <v>44379</v>
      </c>
      <c r="B1319" s="103">
        <v>15722.2001953125</v>
      </c>
    </row>
    <row r="1320" spans="1:2" x14ac:dyDescent="0.3">
      <c r="A1320" s="99">
        <v>44382</v>
      </c>
      <c r="B1320" s="103">
        <v>15834.349609375</v>
      </c>
    </row>
    <row r="1321" spans="1:2" x14ac:dyDescent="0.3">
      <c r="A1321" s="99">
        <v>44383</v>
      </c>
      <c r="B1321" s="103">
        <v>15818.25</v>
      </c>
    </row>
    <row r="1322" spans="1:2" x14ac:dyDescent="0.3">
      <c r="A1322" s="99">
        <v>44384</v>
      </c>
      <c r="B1322" s="103">
        <v>15879.650390625</v>
      </c>
    </row>
    <row r="1323" spans="1:2" x14ac:dyDescent="0.3">
      <c r="A1323" s="99">
        <v>44385</v>
      </c>
      <c r="B1323" s="103">
        <v>15727.900390625</v>
      </c>
    </row>
    <row r="1324" spans="1:2" x14ac:dyDescent="0.3">
      <c r="A1324" s="99">
        <v>44386</v>
      </c>
      <c r="B1324" s="103">
        <v>15689.7998046875</v>
      </c>
    </row>
    <row r="1325" spans="1:2" x14ac:dyDescent="0.3">
      <c r="A1325" s="99">
        <v>44389</v>
      </c>
      <c r="B1325" s="103">
        <v>15692.599609375</v>
      </c>
    </row>
    <row r="1326" spans="1:2" x14ac:dyDescent="0.3">
      <c r="A1326" s="99">
        <v>44390</v>
      </c>
      <c r="B1326" s="103">
        <v>15812.349609375</v>
      </c>
    </row>
    <row r="1327" spans="1:2" x14ac:dyDescent="0.3">
      <c r="A1327" s="99">
        <v>44391</v>
      </c>
      <c r="B1327" s="103">
        <v>15853.9501953125</v>
      </c>
    </row>
    <row r="1328" spans="1:2" x14ac:dyDescent="0.3">
      <c r="A1328" s="99">
        <v>44392</v>
      </c>
      <c r="B1328" s="103">
        <v>15924.2001953125</v>
      </c>
    </row>
    <row r="1329" spans="1:2" x14ac:dyDescent="0.3">
      <c r="A1329" s="99">
        <v>44393</v>
      </c>
      <c r="B1329" s="103">
        <v>15923.400390625</v>
      </c>
    </row>
    <row r="1330" spans="1:2" x14ac:dyDescent="0.3">
      <c r="A1330" s="99">
        <v>44396</v>
      </c>
      <c r="B1330" s="103">
        <v>15752.400390625</v>
      </c>
    </row>
    <row r="1331" spans="1:2" x14ac:dyDescent="0.3">
      <c r="A1331" s="99">
        <v>44397</v>
      </c>
      <c r="B1331" s="103">
        <v>15632.099609375</v>
      </c>
    </row>
    <row r="1332" spans="1:2" x14ac:dyDescent="0.3">
      <c r="A1332" s="99">
        <v>44399</v>
      </c>
      <c r="B1332" s="103">
        <v>15824.0498046875</v>
      </c>
    </row>
    <row r="1333" spans="1:2" x14ac:dyDescent="0.3">
      <c r="A1333" s="99">
        <v>44400</v>
      </c>
      <c r="B1333" s="103">
        <v>15856.0498046875</v>
      </c>
    </row>
    <row r="1334" spans="1:2" x14ac:dyDescent="0.3">
      <c r="A1334" s="99">
        <v>44403</v>
      </c>
      <c r="B1334" s="103">
        <v>15824.4501953125</v>
      </c>
    </row>
    <row r="1335" spans="1:2" x14ac:dyDescent="0.3">
      <c r="A1335" s="99">
        <v>44404</v>
      </c>
      <c r="B1335" s="103">
        <v>15746.4501953125</v>
      </c>
    </row>
    <row r="1336" spans="1:2" x14ac:dyDescent="0.3">
      <c r="A1336" s="99">
        <v>44405</v>
      </c>
      <c r="B1336" s="103">
        <v>15709.400390625</v>
      </c>
    </row>
    <row r="1337" spans="1:2" x14ac:dyDescent="0.3">
      <c r="A1337" s="99">
        <v>44406</v>
      </c>
      <c r="B1337" s="103">
        <v>15778.4501953125</v>
      </c>
    </row>
    <row r="1338" spans="1:2" x14ac:dyDescent="0.3">
      <c r="A1338" s="99">
        <v>44407</v>
      </c>
      <c r="B1338" s="103">
        <v>15763.0498046875</v>
      </c>
    </row>
    <row r="1339" spans="1:2" x14ac:dyDescent="0.3">
      <c r="A1339" s="99">
        <v>44410</v>
      </c>
      <c r="B1339" s="103">
        <v>15885.150390625</v>
      </c>
    </row>
    <row r="1340" spans="1:2" x14ac:dyDescent="0.3">
      <c r="A1340" s="99">
        <v>44411</v>
      </c>
      <c r="B1340" s="103">
        <v>16130.75</v>
      </c>
    </row>
    <row r="1341" spans="1:2" x14ac:dyDescent="0.3">
      <c r="A1341" s="99">
        <v>44412</v>
      </c>
      <c r="B1341" s="103">
        <v>16258.7998046875</v>
      </c>
    </row>
    <row r="1342" spans="1:2" x14ac:dyDescent="0.3">
      <c r="A1342" s="99">
        <v>44413</v>
      </c>
      <c r="B1342" s="103">
        <v>16294.599609375</v>
      </c>
    </row>
    <row r="1343" spans="1:2" x14ac:dyDescent="0.3">
      <c r="A1343" s="99">
        <v>44414</v>
      </c>
      <c r="B1343" s="103">
        <v>16238.2001953125</v>
      </c>
    </row>
    <row r="1344" spans="1:2" x14ac:dyDescent="0.3">
      <c r="A1344" s="99">
        <v>44417</v>
      </c>
      <c r="B1344" s="103">
        <v>16258.25</v>
      </c>
    </row>
    <row r="1345" spans="1:2" x14ac:dyDescent="0.3">
      <c r="A1345" s="99">
        <v>44418</v>
      </c>
      <c r="B1345" s="103">
        <v>16280.099609375</v>
      </c>
    </row>
    <row r="1346" spans="1:2" x14ac:dyDescent="0.3">
      <c r="A1346" s="99">
        <v>44419</v>
      </c>
      <c r="B1346" s="103">
        <v>16282.25</v>
      </c>
    </row>
    <row r="1347" spans="1:2" x14ac:dyDescent="0.3">
      <c r="A1347" s="99">
        <v>44420</v>
      </c>
      <c r="B1347" s="103">
        <v>16364.400390625</v>
      </c>
    </row>
    <row r="1348" spans="1:2" x14ac:dyDescent="0.3">
      <c r="A1348" s="99">
        <v>44421</v>
      </c>
      <c r="B1348" s="103">
        <v>16529.099609375</v>
      </c>
    </row>
    <row r="1349" spans="1:2" x14ac:dyDescent="0.3">
      <c r="A1349" s="99">
        <v>44424</v>
      </c>
      <c r="B1349" s="103">
        <v>16563.05078125</v>
      </c>
    </row>
    <row r="1350" spans="1:2" x14ac:dyDescent="0.3">
      <c r="A1350" s="99">
        <v>44425</v>
      </c>
      <c r="B1350" s="103">
        <v>16614.599609375</v>
      </c>
    </row>
    <row r="1351" spans="1:2" x14ac:dyDescent="0.3">
      <c r="A1351" s="99">
        <v>44426</v>
      </c>
      <c r="B1351" s="103">
        <v>16568.849609375</v>
      </c>
    </row>
    <row r="1352" spans="1:2" x14ac:dyDescent="0.3">
      <c r="A1352" s="99">
        <v>44428</v>
      </c>
      <c r="B1352" s="103">
        <v>16450.5</v>
      </c>
    </row>
    <row r="1353" spans="1:2" x14ac:dyDescent="0.3">
      <c r="A1353" s="99">
        <v>44431</v>
      </c>
      <c r="B1353" s="103">
        <v>16496.44921875</v>
      </c>
    </row>
    <row r="1354" spans="1:2" x14ac:dyDescent="0.3">
      <c r="A1354" s="99">
        <v>44432</v>
      </c>
      <c r="B1354" s="103">
        <v>16624.599609375</v>
      </c>
    </row>
    <row r="1355" spans="1:2" x14ac:dyDescent="0.3">
      <c r="A1355" s="99">
        <v>44433</v>
      </c>
      <c r="B1355" s="103">
        <v>16634.650390625</v>
      </c>
    </row>
    <row r="1356" spans="1:2" x14ac:dyDescent="0.3">
      <c r="A1356" s="99">
        <v>44434</v>
      </c>
      <c r="B1356" s="103">
        <v>16636.900390625</v>
      </c>
    </row>
    <row r="1357" spans="1:2" x14ac:dyDescent="0.3">
      <c r="A1357" s="99">
        <v>44435</v>
      </c>
      <c r="B1357" s="103">
        <v>16705.19921875</v>
      </c>
    </row>
    <row r="1358" spans="1:2" x14ac:dyDescent="0.3">
      <c r="A1358" s="99">
        <v>44438</v>
      </c>
      <c r="B1358" s="103">
        <v>16931.05078125</v>
      </c>
    </row>
    <row r="1359" spans="1:2" x14ac:dyDescent="0.3">
      <c r="A1359" s="99">
        <v>44439</v>
      </c>
      <c r="B1359" s="103">
        <v>17132.19921875</v>
      </c>
    </row>
    <row r="1360" spans="1:2" x14ac:dyDescent="0.3">
      <c r="A1360" s="99">
        <v>44440</v>
      </c>
      <c r="B1360" s="103">
        <v>17076.25</v>
      </c>
    </row>
    <row r="1361" spans="1:2" x14ac:dyDescent="0.3">
      <c r="A1361" s="99">
        <v>44441</v>
      </c>
      <c r="B1361" s="103">
        <v>17234.150390625</v>
      </c>
    </row>
    <row r="1362" spans="1:2" x14ac:dyDescent="0.3">
      <c r="A1362" s="99">
        <v>44442</v>
      </c>
      <c r="B1362" s="103">
        <v>17323.599609375</v>
      </c>
    </row>
    <row r="1363" spans="1:2" x14ac:dyDescent="0.3">
      <c r="A1363" s="99">
        <v>44445</v>
      </c>
      <c r="B1363" s="103">
        <v>17377.80078125</v>
      </c>
    </row>
    <row r="1364" spans="1:2" x14ac:dyDescent="0.3">
      <c r="A1364" s="99">
        <v>44446</v>
      </c>
      <c r="B1364" s="103">
        <v>17362.099609375</v>
      </c>
    </row>
    <row r="1365" spans="1:2" x14ac:dyDescent="0.3">
      <c r="A1365" s="99">
        <v>44447</v>
      </c>
      <c r="B1365" s="103">
        <v>17353.5</v>
      </c>
    </row>
    <row r="1366" spans="1:2" x14ac:dyDescent="0.3">
      <c r="A1366" s="99">
        <v>44448</v>
      </c>
      <c r="B1366" s="103">
        <v>17369.25</v>
      </c>
    </row>
    <row r="1367" spans="1:2" x14ac:dyDescent="0.3">
      <c r="A1367" s="99">
        <v>44452</v>
      </c>
      <c r="B1367" s="103">
        <v>17355.30078125</v>
      </c>
    </row>
    <row r="1368" spans="1:2" x14ac:dyDescent="0.3">
      <c r="A1368" s="99">
        <v>44453</v>
      </c>
      <c r="B1368" s="103">
        <v>17380</v>
      </c>
    </row>
    <row r="1369" spans="1:2" x14ac:dyDescent="0.3">
      <c r="A1369" s="99">
        <v>44454</v>
      </c>
      <c r="B1369" s="103">
        <v>17519.44921875</v>
      </c>
    </row>
    <row r="1370" spans="1:2" x14ac:dyDescent="0.3">
      <c r="A1370" s="99">
        <v>44455</v>
      </c>
      <c r="B1370" s="103">
        <v>17629.5</v>
      </c>
    </row>
    <row r="1371" spans="1:2" x14ac:dyDescent="0.3">
      <c r="A1371" s="99">
        <v>44456</v>
      </c>
      <c r="B1371" s="103">
        <v>17585.150390625</v>
      </c>
    </row>
    <row r="1372" spans="1:2" x14ac:dyDescent="0.3">
      <c r="A1372" s="99">
        <v>44459</v>
      </c>
      <c r="B1372" s="103">
        <v>17396.900390625</v>
      </c>
    </row>
    <row r="1373" spans="1:2" x14ac:dyDescent="0.3">
      <c r="A1373" s="99">
        <v>44460</v>
      </c>
      <c r="B1373" s="103">
        <v>17562</v>
      </c>
    </row>
    <row r="1374" spans="1:2" x14ac:dyDescent="0.3">
      <c r="A1374" s="99">
        <v>44461</v>
      </c>
      <c r="B1374" s="103">
        <v>17546.650390625</v>
      </c>
    </row>
    <row r="1375" spans="1:2" x14ac:dyDescent="0.3">
      <c r="A1375" s="99">
        <v>44462</v>
      </c>
      <c r="B1375" s="103">
        <v>17822.94921875</v>
      </c>
    </row>
    <row r="1376" spans="1:2" x14ac:dyDescent="0.3">
      <c r="A1376" s="99">
        <v>44463</v>
      </c>
      <c r="B1376" s="103">
        <v>17853.19921875</v>
      </c>
    </row>
    <row r="1377" spans="1:2" x14ac:dyDescent="0.3">
      <c r="A1377" s="99">
        <v>44466</v>
      </c>
      <c r="B1377" s="103">
        <v>17855.099609375</v>
      </c>
    </row>
    <row r="1378" spans="1:2" x14ac:dyDescent="0.3">
      <c r="A1378" s="99">
        <v>44467</v>
      </c>
      <c r="B1378" s="103">
        <v>17748.599609375</v>
      </c>
    </row>
    <row r="1379" spans="1:2" x14ac:dyDescent="0.3">
      <c r="A1379" s="99">
        <v>44468</v>
      </c>
      <c r="B1379" s="103">
        <v>17711.30078125</v>
      </c>
    </row>
    <row r="1380" spans="1:2" x14ac:dyDescent="0.3">
      <c r="A1380" s="99">
        <v>44469</v>
      </c>
      <c r="B1380" s="103">
        <v>17618.150390625</v>
      </c>
    </row>
    <row r="1381" spans="1:2" x14ac:dyDescent="0.3">
      <c r="A1381" s="99">
        <v>44470</v>
      </c>
      <c r="B1381" s="103">
        <v>17532.05078125</v>
      </c>
    </row>
    <row r="1382" spans="1:2" x14ac:dyDescent="0.3">
      <c r="A1382" s="99">
        <v>44473</v>
      </c>
      <c r="B1382" s="103">
        <v>17691.25</v>
      </c>
    </row>
    <row r="1383" spans="1:2" x14ac:dyDescent="0.3">
      <c r="A1383" s="99">
        <v>44474</v>
      </c>
      <c r="B1383" s="103">
        <v>17822.30078125</v>
      </c>
    </row>
    <row r="1384" spans="1:2" x14ac:dyDescent="0.3">
      <c r="A1384" s="99">
        <v>44475</v>
      </c>
      <c r="B1384" s="103">
        <v>17646</v>
      </c>
    </row>
    <row r="1385" spans="1:2" x14ac:dyDescent="0.3">
      <c r="A1385" s="99">
        <v>44476</v>
      </c>
      <c r="B1385" s="103">
        <v>17790.349609375</v>
      </c>
    </row>
    <row r="1386" spans="1:2" x14ac:dyDescent="0.3">
      <c r="A1386" s="99">
        <v>44477</v>
      </c>
      <c r="B1386" s="103">
        <v>17895.19921875</v>
      </c>
    </row>
    <row r="1387" spans="1:2" x14ac:dyDescent="0.3">
      <c r="A1387" s="99">
        <v>44480</v>
      </c>
      <c r="B1387" s="103">
        <v>17945.94921875</v>
      </c>
    </row>
    <row r="1388" spans="1:2" x14ac:dyDescent="0.3">
      <c r="A1388" s="99">
        <v>44481</v>
      </c>
      <c r="B1388" s="103">
        <v>17991.94921875</v>
      </c>
    </row>
    <row r="1389" spans="1:2" x14ac:dyDescent="0.3">
      <c r="A1389" s="99">
        <v>44482</v>
      </c>
      <c r="B1389" s="103">
        <v>18161.75</v>
      </c>
    </row>
    <row r="1390" spans="1:2" x14ac:dyDescent="0.3">
      <c r="A1390" s="99">
        <v>44483</v>
      </c>
      <c r="B1390" s="103">
        <v>18338.55078125</v>
      </c>
    </row>
    <row r="1391" spans="1:2" x14ac:dyDescent="0.3">
      <c r="A1391" s="99">
        <v>44487</v>
      </c>
      <c r="B1391" s="103">
        <v>18477.05078125</v>
      </c>
    </row>
    <row r="1392" spans="1:2" x14ac:dyDescent="0.3">
      <c r="A1392" s="99">
        <v>44488</v>
      </c>
      <c r="B1392" s="103">
        <v>18418.75</v>
      </c>
    </row>
    <row r="1393" spans="1:2" x14ac:dyDescent="0.3">
      <c r="A1393" s="99">
        <v>44489</v>
      </c>
      <c r="B1393" s="103">
        <v>18266.599609375</v>
      </c>
    </row>
    <row r="1394" spans="1:2" x14ac:dyDescent="0.3">
      <c r="A1394" s="99">
        <v>44490</v>
      </c>
      <c r="B1394" s="103">
        <v>18178.099609375</v>
      </c>
    </row>
    <row r="1395" spans="1:2" x14ac:dyDescent="0.3">
      <c r="A1395" s="99">
        <v>44491</v>
      </c>
      <c r="B1395" s="103">
        <v>18114.900390625</v>
      </c>
    </row>
    <row r="1396" spans="1:2" x14ac:dyDescent="0.3">
      <c r="A1396" s="99">
        <v>44494</v>
      </c>
      <c r="B1396" s="103">
        <v>18125.400390625</v>
      </c>
    </row>
    <row r="1397" spans="1:2" x14ac:dyDescent="0.3">
      <c r="A1397" s="99">
        <v>44495</v>
      </c>
      <c r="B1397" s="103">
        <v>18268.400390625</v>
      </c>
    </row>
    <row r="1398" spans="1:2" x14ac:dyDescent="0.3">
      <c r="A1398" s="99">
        <v>44496</v>
      </c>
      <c r="B1398" s="103">
        <v>18210.94921875</v>
      </c>
    </row>
    <row r="1399" spans="1:2" x14ac:dyDescent="0.3">
      <c r="A1399" s="99">
        <v>44497</v>
      </c>
      <c r="B1399" s="103">
        <v>17857.25</v>
      </c>
    </row>
    <row r="1400" spans="1:2" x14ac:dyDescent="0.3">
      <c r="A1400" s="99">
        <v>44498</v>
      </c>
      <c r="B1400" s="103">
        <v>17671.650390625</v>
      </c>
    </row>
    <row r="1401" spans="1:2" x14ac:dyDescent="0.3">
      <c r="A1401" s="99">
        <v>44501</v>
      </c>
      <c r="B1401" s="103">
        <v>17929.650390625</v>
      </c>
    </row>
    <row r="1402" spans="1:2" x14ac:dyDescent="0.3">
      <c r="A1402" s="99">
        <v>44502</v>
      </c>
      <c r="B1402" s="103">
        <v>17888.94921875</v>
      </c>
    </row>
    <row r="1403" spans="1:2" x14ac:dyDescent="0.3">
      <c r="A1403" s="99">
        <v>44503</v>
      </c>
      <c r="B1403" s="103">
        <v>17829.19921875</v>
      </c>
    </row>
    <row r="1404" spans="1:2" x14ac:dyDescent="0.3">
      <c r="A1404" s="99">
        <v>44504</v>
      </c>
      <c r="B1404" s="103">
        <v>17916.80078125</v>
      </c>
    </row>
    <row r="1405" spans="1:2" x14ac:dyDescent="0.3">
      <c r="A1405" s="99">
        <v>44508</v>
      </c>
      <c r="B1405" s="103">
        <v>18068.55078125</v>
      </c>
    </row>
    <row r="1406" spans="1:2" x14ac:dyDescent="0.3">
      <c r="A1406" s="99">
        <v>44509</v>
      </c>
      <c r="B1406" s="103">
        <v>18044.25</v>
      </c>
    </row>
    <row r="1407" spans="1:2" x14ac:dyDescent="0.3">
      <c r="A1407" s="99">
        <v>44510</v>
      </c>
      <c r="B1407" s="103">
        <v>18017.19921875</v>
      </c>
    </row>
    <row r="1408" spans="1:2" x14ac:dyDescent="0.3">
      <c r="A1408" s="99">
        <v>44511</v>
      </c>
      <c r="B1408" s="103">
        <v>17873.599609375</v>
      </c>
    </row>
    <row r="1409" spans="1:2" x14ac:dyDescent="0.3">
      <c r="A1409" s="99">
        <v>44512</v>
      </c>
      <c r="B1409" s="103">
        <v>18102.75</v>
      </c>
    </row>
    <row r="1410" spans="1:2" x14ac:dyDescent="0.3">
      <c r="A1410" s="99">
        <v>44515</v>
      </c>
      <c r="B1410" s="103">
        <v>18109.44921875</v>
      </c>
    </row>
    <row r="1411" spans="1:2" x14ac:dyDescent="0.3">
      <c r="A1411" s="99">
        <v>44516</v>
      </c>
      <c r="B1411" s="103">
        <v>17999.19921875</v>
      </c>
    </row>
    <row r="1412" spans="1:2" x14ac:dyDescent="0.3">
      <c r="A1412" s="99">
        <v>44517</v>
      </c>
      <c r="B1412" s="103">
        <v>17898.650390625</v>
      </c>
    </row>
    <row r="1413" spans="1:2" x14ac:dyDescent="0.3">
      <c r="A1413" s="99">
        <v>44518</v>
      </c>
      <c r="B1413" s="103">
        <v>17764.80078125</v>
      </c>
    </row>
    <row r="1414" spans="1:2" x14ac:dyDescent="0.3">
      <c r="A1414" s="99">
        <v>44522</v>
      </c>
      <c r="B1414" s="103">
        <v>17416.55078125</v>
      </c>
    </row>
    <row r="1415" spans="1:2" x14ac:dyDescent="0.3">
      <c r="A1415" s="99">
        <v>44523</v>
      </c>
      <c r="B1415" s="103">
        <v>17503.349609375</v>
      </c>
    </row>
    <row r="1416" spans="1:2" x14ac:dyDescent="0.3">
      <c r="A1416" s="99">
        <v>44524</v>
      </c>
      <c r="B1416" s="103">
        <v>17415.05078125</v>
      </c>
    </row>
    <row r="1417" spans="1:2" x14ac:dyDescent="0.3">
      <c r="A1417" s="99">
        <v>44525</v>
      </c>
      <c r="B1417" s="103">
        <v>17536.25</v>
      </c>
    </row>
    <row r="1418" spans="1:2" x14ac:dyDescent="0.3">
      <c r="A1418" s="99">
        <v>44526</v>
      </c>
      <c r="B1418" s="103">
        <v>17026.44921875</v>
      </c>
    </row>
    <row r="1419" spans="1:2" x14ac:dyDescent="0.3">
      <c r="A1419" s="99">
        <v>44529</v>
      </c>
      <c r="B1419" s="103">
        <v>17053.94921875</v>
      </c>
    </row>
    <row r="1420" spans="1:2" x14ac:dyDescent="0.3">
      <c r="A1420" s="99">
        <v>44530</v>
      </c>
      <c r="B1420" s="103">
        <v>16983.19921875</v>
      </c>
    </row>
    <row r="1421" spans="1:2" x14ac:dyDescent="0.3">
      <c r="A1421" s="99">
        <v>44531</v>
      </c>
      <c r="B1421" s="103">
        <v>17166.900390625</v>
      </c>
    </row>
    <row r="1422" spans="1:2" x14ac:dyDescent="0.3">
      <c r="A1422" s="99">
        <v>44532</v>
      </c>
      <c r="B1422" s="103">
        <v>17401.650390625</v>
      </c>
    </row>
    <row r="1423" spans="1:2" x14ac:dyDescent="0.3">
      <c r="A1423" s="99">
        <v>44533</v>
      </c>
      <c r="B1423" s="103">
        <v>17196.69921875</v>
      </c>
    </row>
    <row r="1424" spans="1:2" x14ac:dyDescent="0.3">
      <c r="A1424" s="99">
        <v>44536</v>
      </c>
      <c r="B1424" s="103">
        <v>16912.25</v>
      </c>
    </row>
    <row r="1425" spans="1:2" x14ac:dyDescent="0.3">
      <c r="A1425" s="99">
        <v>44537</v>
      </c>
      <c r="B1425" s="103">
        <v>17176.69921875</v>
      </c>
    </row>
    <row r="1426" spans="1:2" x14ac:dyDescent="0.3">
      <c r="A1426" s="99">
        <v>44538</v>
      </c>
      <c r="B1426" s="103">
        <v>17469.75</v>
      </c>
    </row>
    <row r="1427" spans="1:2" x14ac:dyDescent="0.3">
      <c r="A1427" s="99">
        <v>44539</v>
      </c>
      <c r="B1427" s="103">
        <v>17516.849609375</v>
      </c>
    </row>
    <row r="1428" spans="1:2" x14ac:dyDescent="0.3">
      <c r="A1428" s="99">
        <v>44540</v>
      </c>
      <c r="B1428" s="103">
        <v>17511.30078125</v>
      </c>
    </row>
    <row r="1429" spans="1:2" x14ac:dyDescent="0.3">
      <c r="A1429" s="99">
        <v>44543</v>
      </c>
      <c r="B1429" s="103">
        <v>17368.25</v>
      </c>
    </row>
    <row r="1430" spans="1:2" x14ac:dyDescent="0.3">
      <c r="A1430" s="99">
        <v>44544</v>
      </c>
      <c r="B1430" s="103">
        <v>17324.900390625</v>
      </c>
    </row>
    <row r="1431" spans="1:2" x14ac:dyDescent="0.3">
      <c r="A1431" s="99">
        <v>44545</v>
      </c>
      <c r="B1431" s="103">
        <v>17221.400390625</v>
      </c>
    </row>
    <row r="1432" spans="1:2" x14ac:dyDescent="0.3">
      <c r="A1432" s="99">
        <v>44546</v>
      </c>
      <c r="B1432" s="103">
        <v>17248.400390625</v>
      </c>
    </row>
    <row r="1433" spans="1:2" x14ac:dyDescent="0.3">
      <c r="A1433" s="99">
        <v>44547</v>
      </c>
      <c r="B1433" s="103">
        <v>16985.19921875</v>
      </c>
    </row>
    <row r="1434" spans="1:2" x14ac:dyDescent="0.3">
      <c r="A1434" s="99">
        <v>44550</v>
      </c>
      <c r="B1434" s="103">
        <v>16614.19921875</v>
      </c>
    </row>
    <row r="1435" spans="1:2" x14ac:dyDescent="0.3">
      <c r="A1435" s="99">
        <v>44551</v>
      </c>
      <c r="B1435" s="103">
        <v>16770.849609375</v>
      </c>
    </row>
    <row r="1436" spans="1:2" x14ac:dyDescent="0.3">
      <c r="A1436" s="99">
        <v>44552</v>
      </c>
      <c r="B1436" s="103">
        <v>16955.44921875</v>
      </c>
    </row>
    <row r="1437" spans="1:2" x14ac:dyDescent="0.3">
      <c r="A1437" s="99">
        <v>44553</v>
      </c>
      <c r="B1437" s="103">
        <v>17072.599609375</v>
      </c>
    </row>
    <row r="1438" spans="1:2" x14ac:dyDescent="0.3">
      <c r="A1438" s="99">
        <v>44554</v>
      </c>
      <c r="B1438" s="103">
        <v>17003.75</v>
      </c>
    </row>
    <row r="1439" spans="1:2" x14ac:dyDescent="0.3">
      <c r="A1439" s="99">
        <v>44557</v>
      </c>
      <c r="B1439" s="103">
        <v>17086.25</v>
      </c>
    </row>
    <row r="1440" spans="1:2" x14ac:dyDescent="0.3">
      <c r="A1440" s="99">
        <v>44558</v>
      </c>
      <c r="B1440" s="103">
        <v>17233.25</v>
      </c>
    </row>
    <row r="1441" spans="1:2" x14ac:dyDescent="0.3">
      <c r="A1441" s="99">
        <v>44559</v>
      </c>
      <c r="B1441" s="103">
        <v>17213.599609375</v>
      </c>
    </row>
    <row r="1442" spans="1:2" x14ac:dyDescent="0.3">
      <c r="A1442" s="99">
        <v>44560</v>
      </c>
      <c r="B1442" s="103">
        <v>17203.94921875</v>
      </c>
    </row>
    <row r="1443" spans="1:2" x14ac:dyDescent="0.3">
      <c r="A1443" s="99">
        <v>44561</v>
      </c>
      <c r="B1443" s="103">
        <v>17354.05078125</v>
      </c>
    </row>
    <row r="1444" spans="1:2" x14ac:dyDescent="0.3">
      <c r="A1444" s="99">
        <v>44564</v>
      </c>
      <c r="B1444" s="103">
        <v>17625.69921875</v>
      </c>
    </row>
    <row r="1445" spans="1:2" x14ac:dyDescent="0.3">
      <c r="A1445" s="99">
        <v>44565</v>
      </c>
      <c r="B1445" s="103">
        <v>17805.25</v>
      </c>
    </row>
    <row r="1446" spans="1:2" x14ac:dyDescent="0.3">
      <c r="A1446" s="99">
        <v>44566</v>
      </c>
      <c r="B1446" s="103">
        <v>17925.25</v>
      </c>
    </row>
    <row r="1447" spans="1:2" x14ac:dyDescent="0.3">
      <c r="A1447" s="99">
        <v>44567</v>
      </c>
      <c r="B1447" s="103">
        <v>17745.900390625</v>
      </c>
    </row>
    <row r="1448" spans="1:2" x14ac:dyDescent="0.3">
      <c r="A1448" s="99">
        <v>44568</v>
      </c>
      <c r="B1448" s="103">
        <v>17812.69921875</v>
      </c>
    </row>
    <row r="1449" spans="1:2" x14ac:dyDescent="0.3">
      <c r="A1449" s="99">
        <v>44571</v>
      </c>
      <c r="B1449" s="103">
        <v>18003.30078125</v>
      </c>
    </row>
    <row r="1450" spans="1:2" x14ac:dyDescent="0.3">
      <c r="A1450" s="99">
        <v>44572</v>
      </c>
      <c r="B1450" s="103">
        <v>18055.75</v>
      </c>
    </row>
    <row r="1451" spans="1:2" x14ac:dyDescent="0.3">
      <c r="A1451" s="99">
        <v>44573</v>
      </c>
      <c r="B1451" s="103">
        <v>18212.349609375</v>
      </c>
    </row>
    <row r="1452" spans="1:2" x14ac:dyDescent="0.3">
      <c r="A1452" s="99">
        <v>44574</v>
      </c>
      <c r="B1452" s="103">
        <v>18257.80078125</v>
      </c>
    </row>
    <row r="1453" spans="1:2" x14ac:dyDescent="0.3">
      <c r="A1453" s="99">
        <v>44575</v>
      </c>
      <c r="B1453" s="103">
        <v>18255.75</v>
      </c>
    </row>
    <row r="1454" spans="1:2" x14ac:dyDescent="0.3">
      <c r="A1454" s="99">
        <v>44578</v>
      </c>
      <c r="B1454" s="103">
        <v>18308.099609375</v>
      </c>
    </row>
    <row r="1455" spans="1:2" x14ac:dyDescent="0.3">
      <c r="A1455" s="99">
        <v>44579</v>
      </c>
      <c r="B1455" s="103">
        <v>18113.05078125</v>
      </c>
    </row>
    <row r="1456" spans="1:2" x14ac:dyDescent="0.3">
      <c r="A1456" s="99">
        <v>44580</v>
      </c>
      <c r="B1456" s="103">
        <v>17938.400390625</v>
      </c>
    </row>
    <row r="1457" spans="1:2" x14ac:dyDescent="0.3">
      <c r="A1457" s="99">
        <v>44581</v>
      </c>
      <c r="B1457" s="103">
        <v>17757</v>
      </c>
    </row>
    <row r="1458" spans="1:2" x14ac:dyDescent="0.3">
      <c r="A1458" s="99">
        <v>44582</v>
      </c>
      <c r="B1458" s="103">
        <v>17617.150390625</v>
      </c>
    </row>
    <row r="1459" spans="1:2" x14ac:dyDescent="0.3">
      <c r="A1459" s="99">
        <v>44585</v>
      </c>
      <c r="B1459" s="103">
        <v>17149.099609375</v>
      </c>
    </row>
    <row r="1460" spans="1:2" x14ac:dyDescent="0.3">
      <c r="A1460" s="99">
        <v>44586</v>
      </c>
      <c r="B1460" s="103">
        <v>17277.94921875</v>
      </c>
    </row>
    <row r="1461" spans="1:2" x14ac:dyDescent="0.3">
      <c r="A1461" s="99">
        <v>44588</v>
      </c>
      <c r="B1461" s="103">
        <v>17110.150390625</v>
      </c>
    </row>
    <row r="1462" spans="1:2" x14ac:dyDescent="0.3">
      <c r="A1462" s="99">
        <v>44589</v>
      </c>
      <c r="B1462" s="103">
        <v>17101.94921875</v>
      </c>
    </row>
    <row r="1463" spans="1:2" x14ac:dyDescent="0.3">
      <c r="A1463" s="99">
        <v>44592</v>
      </c>
      <c r="B1463" s="103">
        <v>17339.849609375</v>
      </c>
    </row>
    <row r="1464" spans="1:2" x14ac:dyDescent="0.3">
      <c r="A1464" s="99">
        <v>44593</v>
      </c>
      <c r="B1464" s="103">
        <v>17576.849609375</v>
      </c>
    </row>
    <row r="1465" spans="1:2" x14ac:dyDescent="0.3">
      <c r="A1465" s="99">
        <v>44594</v>
      </c>
      <c r="B1465" s="103">
        <v>17780</v>
      </c>
    </row>
    <row r="1466" spans="1:2" x14ac:dyDescent="0.3">
      <c r="A1466" s="99">
        <v>44595</v>
      </c>
      <c r="B1466" s="103">
        <v>17560.19921875</v>
      </c>
    </row>
    <row r="1467" spans="1:2" x14ac:dyDescent="0.3">
      <c r="A1467" s="99">
        <v>44596</v>
      </c>
      <c r="B1467" s="103">
        <v>17516.30078125</v>
      </c>
    </row>
    <row r="1468" spans="1:2" x14ac:dyDescent="0.3">
      <c r="A1468" s="99">
        <v>44599</v>
      </c>
      <c r="B1468" s="103">
        <v>17213.599609375</v>
      </c>
    </row>
    <row r="1469" spans="1:2" x14ac:dyDescent="0.3">
      <c r="A1469" s="99">
        <v>44600</v>
      </c>
      <c r="B1469" s="103">
        <v>17266.75</v>
      </c>
    </row>
    <row r="1470" spans="1:2" x14ac:dyDescent="0.3">
      <c r="A1470" s="99">
        <v>44601</v>
      </c>
      <c r="B1470" s="103">
        <v>17463.80078125</v>
      </c>
    </row>
    <row r="1471" spans="1:2" x14ac:dyDescent="0.3">
      <c r="A1471" s="99">
        <v>44602</v>
      </c>
      <c r="B1471" s="103">
        <v>17605.849609375</v>
      </c>
    </row>
    <row r="1472" spans="1:2" x14ac:dyDescent="0.3">
      <c r="A1472" s="99">
        <v>44603</v>
      </c>
      <c r="B1472" s="103">
        <v>17374.75</v>
      </c>
    </row>
    <row r="1473" spans="1:2" x14ac:dyDescent="0.3">
      <c r="A1473" s="99">
        <v>44606</v>
      </c>
      <c r="B1473" s="103">
        <v>16842.80078125</v>
      </c>
    </row>
    <row r="1474" spans="1:2" x14ac:dyDescent="0.3">
      <c r="A1474" s="99">
        <v>44607</v>
      </c>
      <c r="B1474" s="103">
        <v>17352.44921875</v>
      </c>
    </row>
    <row r="1475" spans="1:2" x14ac:dyDescent="0.3">
      <c r="A1475" s="99">
        <v>44608</v>
      </c>
      <c r="B1475" s="103">
        <v>17322.19921875</v>
      </c>
    </row>
    <row r="1476" spans="1:2" x14ac:dyDescent="0.3">
      <c r="A1476" s="99">
        <v>44609</v>
      </c>
      <c r="B1476" s="103">
        <v>17304.599609375</v>
      </c>
    </row>
    <row r="1477" spans="1:2" x14ac:dyDescent="0.3">
      <c r="A1477" s="99">
        <v>44610</v>
      </c>
      <c r="B1477" s="103">
        <v>17276.30078125</v>
      </c>
    </row>
    <row r="1478" spans="1:2" x14ac:dyDescent="0.3">
      <c r="A1478" s="99">
        <v>44613</v>
      </c>
      <c r="B1478" s="103">
        <v>17206.650390625</v>
      </c>
    </row>
    <row r="1479" spans="1:2" x14ac:dyDescent="0.3">
      <c r="A1479" s="99">
        <v>44614</v>
      </c>
      <c r="B1479" s="103">
        <v>17092.19921875</v>
      </c>
    </row>
    <row r="1480" spans="1:2" x14ac:dyDescent="0.3">
      <c r="A1480" s="99">
        <v>44615</v>
      </c>
      <c r="B1480" s="103">
        <v>17063.25</v>
      </c>
    </row>
    <row r="1481" spans="1:2" x14ac:dyDescent="0.3">
      <c r="A1481" s="99">
        <v>44616</v>
      </c>
      <c r="B1481" s="103">
        <v>16247.9501953125</v>
      </c>
    </row>
    <row r="1482" spans="1:2" x14ac:dyDescent="0.3">
      <c r="A1482" s="99">
        <v>44617</v>
      </c>
      <c r="B1482" s="103">
        <v>16658.400390625</v>
      </c>
    </row>
    <row r="1483" spans="1:2" x14ac:dyDescent="0.3">
      <c r="A1483" s="99">
        <v>44620</v>
      </c>
      <c r="B1483" s="103">
        <v>16793.900390625</v>
      </c>
    </row>
    <row r="1484" spans="1:2" x14ac:dyDescent="0.3">
      <c r="A1484" s="99">
        <v>44622</v>
      </c>
      <c r="B1484" s="103">
        <v>16605.94921875</v>
      </c>
    </row>
    <row r="1485" spans="1:2" x14ac:dyDescent="0.3">
      <c r="A1485" s="99">
        <v>44623</v>
      </c>
      <c r="B1485" s="103">
        <v>16498.05078125</v>
      </c>
    </row>
    <row r="1486" spans="1:2" x14ac:dyDescent="0.3">
      <c r="A1486" s="99">
        <v>44624</v>
      </c>
      <c r="B1486" s="103">
        <v>16245.349609375</v>
      </c>
    </row>
    <row r="1487" spans="1:2" x14ac:dyDescent="0.3">
      <c r="A1487" s="99">
        <v>44627</v>
      </c>
      <c r="B1487" s="103">
        <v>15863.150390625</v>
      </c>
    </row>
    <row r="1488" spans="1:2" x14ac:dyDescent="0.3">
      <c r="A1488" s="99">
        <v>44628</v>
      </c>
      <c r="B1488" s="103">
        <v>16013.4501953125</v>
      </c>
    </row>
    <row r="1489" spans="1:2" x14ac:dyDescent="0.3">
      <c r="A1489" s="99">
        <v>44629</v>
      </c>
      <c r="B1489" s="103">
        <v>16345.349609375</v>
      </c>
    </row>
    <row r="1490" spans="1:2" x14ac:dyDescent="0.3">
      <c r="A1490" s="99">
        <v>44630</v>
      </c>
      <c r="B1490" s="103">
        <v>16594.900390625</v>
      </c>
    </row>
    <row r="1491" spans="1:2" x14ac:dyDescent="0.3">
      <c r="A1491" s="99">
        <v>44631</v>
      </c>
      <c r="B1491" s="103">
        <v>16630.44921875</v>
      </c>
    </row>
    <row r="1492" spans="1:2" x14ac:dyDescent="0.3">
      <c r="A1492" s="99">
        <v>44634</v>
      </c>
      <c r="B1492" s="103">
        <v>16871.30078125</v>
      </c>
    </row>
    <row r="1493" spans="1:2" x14ac:dyDescent="0.3">
      <c r="A1493" s="99">
        <v>44635</v>
      </c>
      <c r="B1493" s="103">
        <v>16663</v>
      </c>
    </row>
    <row r="1494" spans="1:2" x14ac:dyDescent="0.3">
      <c r="A1494" s="99">
        <v>44636</v>
      </c>
      <c r="B1494" s="103">
        <v>16975.349609375</v>
      </c>
    </row>
    <row r="1495" spans="1:2" x14ac:dyDescent="0.3">
      <c r="A1495" s="99">
        <v>44637</v>
      </c>
      <c r="B1495" s="103">
        <v>17287.05078125</v>
      </c>
    </row>
    <row r="1496" spans="1:2" x14ac:dyDescent="0.3">
      <c r="A1496" s="99">
        <v>44641</v>
      </c>
      <c r="B1496" s="103">
        <v>17117.599609375</v>
      </c>
    </row>
    <row r="1497" spans="1:2" x14ac:dyDescent="0.3">
      <c r="A1497" s="99">
        <v>44642</v>
      </c>
      <c r="B1497" s="103">
        <v>17315.5</v>
      </c>
    </row>
    <row r="1498" spans="1:2" x14ac:dyDescent="0.3">
      <c r="A1498" s="99">
        <v>44643</v>
      </c>
      <c r="B1498" s="103">
        <v>17245.650390625</v>
      </c>
    </row>
    <row r="1499" spans="1:2" x14ac:dyDescent="0.3">
      <c r="A1499" s="99">
        <v>44644</v>
      </c>
      <c r="B1499" s="103">
        <v>17222.75</v>
      </c>
    </row>
    <row r="1500" spans="1:2" x14ac:dyDescent="0.3">
      <c r="A1500" s="99">
        <v>44645</v>
      </c>
      <c r="B1500" s="103">
        <v>17153</v>
      </c>
    </row>
    <row r="1501" spans="1:2" x14ac:dyDescent="0.3">
      <c r="A1501" s="99">
        <v>44648</v>
      </c>
      <c r="B1501" s="103">
        <v>17222</v>
      </c>
    </row>
    <row r="1502" spans="1:2" x14ac:dyDescent="0.3">
      <c r="A1502" s="99">
        <v>44649</v>
      </c>
      <c r="B1502" s="103">
        <v>17325.30078125</v>
      </c>
    </row>
    <row r="1503" spans="1:2" x14ac:dyDescent="0.3">
      <c r="A1503" s="99">
        <v>44650</v>
      </c>
      <c r="B1503" s="103">
        <v>17498.25</v>
      </c>
    </row>
    <row r="1504" spans="1:2" x14ac:dyDescent="0.3">
      <c r="A1504" s="99">
        <v>44651</v>
      </c>
      <c r="B1504" s="103">
        <v>17464.75</v>
      </c>
    </row>
    <row r="1505" spans="1:2" x14ac:dyDescent="0.3">
      <c r="A1505" s="99">
        <v>44652</v>
      </c>
      <c r="B1505" s="103">
        <v>17670.44921875</v>
      </c>
    </row>
    <row r="1506" spans="1:2" x14ac:dyDescent="0.3">
      <c r="A1506" s="99">
        <v>44655</v>
      </c>
      <c r="B1506" s="103">
        <v>18053.400390625</v>
      </c>
    </row>
    <row r="1507" spans="1:2" x14ac:dyDescent="0.3">
      <c r="A1507" s="99">
        <v>44656</v>
      </c>
      <c r="B1507" s="103">
        <v>17957.400390625</v>
      </c>
    </row>
    <row r="1508" spans="1:2" x14ac:dyDescent="0.3">
      <c r="A1508" s="99">
        <v>44657</v>
      </c>
      <c r="B1508" s="103">
        <v>17807.650390625</v>
      </c>
    </row>
    <row r="1509" spans="1:2" x14ac:dyDescent="0.3">
      <c r="A1509" s="99">
        <v>44658</v>
      </c>
      <c r="B1509" s="103">
        <v>17639.55078125</v>
      </c>
    </row>
    <row r="1510" spans="1:2" x14ac:dyDescent="0.3">
      <c r="A1510" s="99">
        <v>44659</v>
      </c>
      <c r="B1510" s="103">
        <v>17784.349609375</v>
      </c>
    </row>
    <row r="1511" spans="1:2" x14ac:dyDescent="0.3">
      <c r="A1511" s="99">
        <v>44662</v>
      </c>
      <c r="B1511" s="103">
        <v>17674.94921875</v>
      </c>
    </row>
    <row r="1512" spans="1:2" x14ac:dyDescent="0.3">
      <c r="A1512" s="99">
        <v>44663</v>
      </c>
      <c r="B1512" s="103">
        <v>17530.30078125</v>
      </c>
    </row>
    <row r="1513" spans="1:2" x14ac:dyDescent="0.3">
      <c r="A1513" s="99">
        <v>44664</v>
      </c>
      <c r="B1513" s="103">
        <v>17475.650390625</v>
      </c>
    </row>
    <row r="1514" spans="1:2" x14ac:dyDescent="0.3">
      <c r="A1514" s="99">
        <v>44669</v>
      </c>
      <c r="B1514" s="103">
        <v>17173.650390625</v>
      </c>
    </row>
    <row r="1515" spans="1:2" x14ac:dyDescent="0.3">
      <c r="A1515" s="99">
        <v>44670</v>
      </c>
      <c r="B1515" s="103">
        <v>16958.650390625</v>
      </c>
    </row>
    <row r="1516" spans="1:2" x14ac:dyDescent="0.3">
      <c r="A1516" s="99">
        <v>44671</v>
      </c>
      <c r="B1516" s="103">
        <v>17136.55078125</v>
      </c>
    </row>
    <row r="1517" spans="1:2" x14ac:dyDescent="0.3">
      <c r="A1517" s="99">
        <v>44672</v>
      </c>
      <c r="B1517" s="103">
        <v>17392.599609375</v>
      </c>
    </row>
    <row r="1518" spans="1:2" x14ac:dyDescent="0.3">
      <c r="A1518" s="99">
        <v>44673</v>
      </c>
      <c r="B1518" s="103">
        <v>17171.94921875</v>
      </c>
    </row>
    <row r="1519" spans="1:2" x14ac:dyDescent="0.3">
      <c r="A1519" s="99">
        <v>44676</v>
      </c>
      <c r="B1519" s="103">
        <v>16953.94921875</v>
      </c>
    </row>
    <row r="1520" spans="1:2" x14ac:dyDescent="0.3">
      <c r="A1520" s="99">
        <v>44677</v>
      </c>
      <c r="B1520" s="103">
        <v>17200.80078125</v>
      </c>
    </row>
    <row r="1521" spans="1:2" x14ac:dyDescent="0.3">
      <c r="A1521" s="99">
        <v>44678</v>
      </c>
      <c r="B1521" s="103">
        <v>17038.400390625</v>
      </c>
    </row>
    <row r="1522" spans="1:2" x14ac:dyDescent="0.3">
      <c r="A1522" s="99">
        <v>44679</v>
      </c>
      <c r="B1522" s="103">
        <v>17245.05078125</v>
      </c>
    </row>
    <row r="1523" spans="1:2" x14ac:dyDescent="0.3">
      <c r="A1523" s="99">
        <v>44680</v>
      </c>
      <c r="B1523" s="103">
        <v>17102.55078125</v>
      </c>
    </row>
    <row r="1524" spans="1:2" x14ac:dyDescent="0.3">
      <c r="A1524" s="99">
        <v>44683</v>
      </c>
      <c r="B1524" s="103">
        <v>17069.099609375</v>
      </c>
    </row>
    <row r="1525" spans="1:2" x14ac:dyDescent="0.3">
      <c r="A1525" s="99">
        <v>44685</v>
      </c>
      <c r="B1525" s="103">
        <v>16677.599609375</v>
      </c>
    </row>
    <row r="1526" spans="1:2" x14ac:dyDescent="0.3">
      <c r="A1526" s="99">
        <v>44686</v>
      </c>
      <c r="B1526" s="103">
        <v>16682.650390625</v>
      </c>
    </row>
    <row r="1527" spans="1:2" x14ac:dyDescent="0.3">
      <c r="A1527" s="99">
        <v>44687</v>
      </c>
      <c r="B1527" s="103">
        <v>16411.25</v>
      </c>
    </row>
    <row r="1528" spans="1:2" x14ac:dyDescent="0.3">
      <c r="A1528" s="99">
        <v>44690</v>
      </c>
      <c r="B1528" s="103">
        <v>16301.849609375</v>
      </c>
    </row>
    <row r="1529" spans="1:2" x14ac:dyDescent="0.3">
      <c r="A1529" s="99">
        <v>44691</v>
      </c>
      <c r="B1529" s="103">
        <v>16240.0498046875</v>
      </c>
    </row>
    <row r="1530" spans="1:2" x14ac:dyDescent="0.3">
      <c r="A1530" s="99">
        <v>44692</v>
      </c>
      <c r="B1530" s="103">
        <v>16167.099609375</v>
      </c>
    </row>
    <row r="1531" spans="1:2" x14ac:dyDescent="0.3">
      <c r="A1531" s="99">
        <v>44693</v>
      </c>
      <c r="B1531" s="103">
        <v>15808</v>
      </c>
    </row>
    <row r="1532" spans="1:2" x14ac:dyDescent="0.3">
      <c r="A1532" s="99">
        <v>44694</v>
      </c>
      <c r="B1532" s="103">
        <v>15782.150390625</v>
      </c>
    </row>
    <row r="1533" spans="1:2" x14ac:dyDescent="0.3">
      <c r="A1533" s="99">
        <v>44697</v>
      </c>
      <c r="B1533" s="103">
        <v>15842.2998046875</v>
      </c>
    </row>
    <row r="1534" spans="1:2" x14ac:dyDescent="0.3">
      <c r="A1534" s="99">
        <v>44698</v>
      </c>
      <c r="B1534" s="103">
        <v>16259.2998046875</v>
      </c>
    </row>
    <row r="1535" spans="1:2" x14ac:dyDescent="0.3">
      <c r="A1535" s="99">
        <v>44699</v>
      </c>
      <c r="B1535" s="103">
        <v>16240.2998046875</v>
      </c>
    </row>
    <row r="1536" spans="1:2" x14ac:dyDescent="0.3">
      <c r="A1536" s="99">
        <v>44700</v>
      </c>
      <c r="B1536" s="103">
        <v>15809.400390625</v>
      </c>
    </row>
    <row r="1537" spans="1:2" x14ac:dyDescent="0.3">
      <c r="A1537" s="99">
        <v>44701</v>
      </c>
      <c r="B1537" s="103">
        <v>16266.150390625</v>
      </c>
    </row>
    <row r="1538" spans="1:2" x14ac:dyDescent="0.3">
      <c r="A1538" s="99">
        <v>44704</v>
      </c>
      <c r="B1538" s="103">
        <v>16214.7001953125</v>
      </c>
    </row>
    <row r="1539" spans="1:2" x14ac:dyDescent="0.3">
      <c r="A1539" s="99">
        <v>44705</v>
      </c>
      <c r="B1539" s="103">
        <v>16125.150390625</v>
      </c>
    </row>
    <row r="1540" spans="1:2" x14ac:dyDescent="0.3">
      <c r="A1540" s="99">
        <v>44706</v>
      </c>
      <c r="B1540" s="103">
        <v>16025.7998046875</v>
      </c>
    </row>
    <row r="1541" spans="1:2" x14ac:dyDescent="0.3">
      <c r="A1541" s="99">
        <v>44707</v>
      </c>
      <c r="B1541" s="103">
        <v>16170.150390625</v>
      </c>
    </row>
    <row r="1542" spans="1:2" x14ac:dyDescent="0.3">
      <c r="A1542" s="99">
        <v>44708</v>
      </c>
      <c r="B1542" s="103">
        <v>16352.4501953125</v>
      </c>
    </row>
    <row r="1543" spans="1:2" x14ac:dyDescent="0.3">
      <c r="A1543" s="99">
        <v>44711</v>
      </c>
      <c r="B1543" s="103">
        <v>16661.400390625</v>
      </c>
    </row>
    <row r="1544" spans="1:2" x14ac:dyDescent="0.3">
      <c r="A1544" s="99">
        <v>44712</v>
      </c>
      <c r="B1544" s="103">
        <v>16584.55078125</v>
      </c>
    </row>
    <row r="1545" spans="1:2" x14ac:dyDescent="0.3">
      <c r="A1545" s="99">
        <v>44713</v>
      </c>
      <c r="B1545" s="103">
        <v>16522.75</v>
      </c>
    </row>
    <row r="1546" spans="1:2" x14ac:dyDescent="0.3">
      <c r="A1546" s="99">
        <v>44714</v>
      </c>
      <c r="B1546" s="103">
        <v>16628</v>
      </c>
    </row>
    <row r="1547" spans="1:2" x14ac:dyDescent="0.3">
      <c r="A1547" s="99">
        <v>44715</v>
      </c>
      <c r="B1547" s="103">
        <v>16584.30078125</v>
      </c>
    </row>
    <row r="1548" spans="1:2" x14ac:dyDescent="0.3">
      <c r="A1548" s="99">
        <v>44718</v>
      </c>
      <c r="B1548" s="103">
        <v>16569.55078125</v>
      </c>
    </row>
    <row r="1549" spans="1:2" x14ac:dyDescent="0.3">
      <c r="A1549" s="99">
        <v>44719</v>
      </c>
      <c r="B1549" s="103">
        <v>16416.349609375</v>
      </c>
    </row>
    <row r="1550" spans="1:2" x14ac:dyDescent="0.3">
      <c r="A1550" s="99">
        <v>44720</v>
      </c>
      <c r="B1550" s="103">
        <v>16356.25</v>
      </c>
    </row>
    <row r="1551" spans="1:2" x14ac:dyDescent="0.3">
      <c r="A1551" s="99">
        <v>44721</v>
      </c>
      <c r="B1551" s="103">
        <v>16478.099609375</v>
      </c>
    </row>
    <row r="1552" spans="1:2" x14ac:dyDescent="0.3">
      <c r="A1552" s="99">
        <v>44722</v>
      </c>
      <c r="B1552" s="103">
        <v>16201.7998046875</v>
      </c>
    </row>
    <row r="1553" spans="1:2" x14ac:dyDescent="0.3">
      <c r="A1553" s="99">
        <v>44725</v>
      </c>
      <c r="B1553" s="103">
        <v>15774.400390625</v>
      </c>
    </row>
    <row r="1554" spans="1:2" x14ac:dyDescent="0.3">
      <c r="A1554" s="99">
        <v>44726</v>
      </c>
      <c r="B1554" s="103">
        <v>15732.099609375</v>
      </c>
    </row>
    <row r="1555" spans="1:2" x14ac:dyDescent="0.3">
      <c r="A1555" s="99">
        <v>44727</v>
      </c>
      <c r="B1555" s="103">
        <v>15692.150390625</v>
      </c>
    </row>
    <row r="1556" spans="1:2" x14ac:dyDescent="0.3">
      <c r="A1556" s="99">
        <v>44728</v>
      </c>
      <c r="B1556" s="103">
        <v>15360.599609375</v>
      </c>
    </row>
    <row r="1557" spans="1:2" x14ac:dyDescent="0.3">
      <c r="A1557" s="99">
        <v>44729</v>
      </c>
      <c r="B1557" s="103">
        <v>15293.5</v>
      </c>
    </row>
    <row r="1558" spans="1:2" x14ac:dyDescent="0.3">
      <c r="A1558" s="99">
        <v>44732</v>
      </c>
      <c r="B1558" s="103">
        <v>15350.150390625</v>
      </c>
    </row>
    <row r="1559" spans="1:2" x14ac:dyDescent="0.3">
      <c r="A1559" s="99">
        <v>44733</v>
      </c>
      <c r="B1559" s="103">
        <v>15638.7998046875</v>
      </c>
    </row>
    <row r="1560" spans="1:2" x14ac:dyDescent="0.3">
      <c r="A1560" s="99">
        <v>44734</v>
      </c>
      <c r="B1560" s="103">
        <v>15413.2998046875</v>
      </c>
    </row>
    <row r="1561" spans="1:2" x14ac:dyDescent="0.3">
      <c r="A1561" s="99">
        <v>44735</v>
      </c>
      <c r="B1561" s="103">
        <v>15556.650390625</v>
      </c>
    </row>
    <row r="1562" spans="1:2" x14ac:dyDescent="0.3">
      <c r="A1562" s="99">
        <v>44736</v>
      </c>
      <c r="B1562" s="103">
        <v>15699.25</v>
      </c>
    </row>
    <row r="1563" spans="1:2" x14ac:dyDescent="0.3">
      <c r="A1563" s="99">
        <v>44739</v>
      </c>
      <c r="B1563" s="103">
        <v>15832.0498046875</v>
      </c>
    </row>
    <row r="1564" spans="1:2" x14ac:dyDescent="0.3">
      <c r="A1564" s="99">
        <v>44740</v>
      </c>
      <c r="B1564" s="103">
        <v>15850.2001953125</v>
      </c>
    </row>
    <row r="1565" spans="1:2" x14ac:dyDescent="0.3">
      <c r="A1565" s="99">
        <v>44741</v>
      </c>
      <c r="B1565" s="103">
        <v>15799.099609375</v>
      </c>
    </row>
    <row r="1566" spans="1:2" x14ac:dyDescent="0.3">
      <c r="A1566" s="99">
        <v>44742</v>
      </c>
      <c r="B1566" s="103">
        <v>15780.25</v>
      </c>
    </row>
    <row r="1567" spans="1:2" x14ac:dyDescent="0.3">
      <c r="A1567" s="99">
        <v>44743</v>
      </c>
      <c r="B1567" s="103">
        <v>15752.0498046875</v>
      </c>
    </row>
    <row r="1568" spans="1:2" x14ac:dyDescent="0.3">
      <c r="A1568" s="99">
        <v>44746</v>
      </c>
      <c r="B1568" s="103">
        <v>15835.349609375</v>
      </c>
    </row>
    <row r="1569" spans="1:2" x14ac:dyDescent="0.3">
      <c r="A1569" s="99">
        <v>44747</v>
      </c>
      <c r="B1569" s="103">
        <v>15810.849609375</v>
      </c>
    </row>
    <row r="1570" spans="1:2" x14ac:dyDescent="0.3">
      <c r="A1570" s="99">
        <v>44748</v>
      </c>
      <c r="B1570" s="103">
        <v>15989.7998046875</v>
      </c>
    </row>
    <row r="1571" spans="1:2" x14ac:dyDescent="0.3">
      <c r="A1571" s="99">
        <v>44749</v>
      </c>
      <c r="B1571" s="103">
        <v>16132.900390625</v>
      </c>
    </row>
    <row r="1572" spans="1:2" x14ac:dyDescent="0.3">
      <c r="A1572" s="99">
        <v>44750</v>
      </c>
      <c r="B1572" s="103">
        <v>16220.599609375</v>
      </c>
    </row>
    <row r="1573" spans="1:2" x14ac:dyDescent="0.3">
      <c r="A1573" s="99">
        <v>44753</v>
      </c>
      <c r="B1573" s="103">
        <v>16216</v>
      </c>
    </row>
    <row r="1574" spans="1:2" x14ac:dyDescent="0.3">
      <c r="A1574" s="99">
        <v>44754</v>
      </c>
      <c r="B1574" s="103">
        <v>16058.2998046875</v>
      </c>
    </row>
    <row r="1575" spans="1:2" x14ac:dyDescent="0.3">
      <c r="A1575" s="99">
        <v>44755</v>
      </c>
      <c r="B1575" s="103">
        <v>15966.650390625</v>
      </c>
    </row>
    <row r="1576" spans="1:2" x14ac:dyDescent="0.3">
      <c r="A1576" s="99">
        <v>44756</v>
      </c>
      <c r="B1576" s="103">
        <v>15938.650390625</v>
      </c>
    </row>
    <row r="1577" spans="1:2" x14ac:dyDescent="0.3">
      <c r="A1577" s="99">
        <v>44757</v>
      </c>
      <c r="B1577" s="103">
        <v>16049.2001953125</v>
      </c>
    </row>
    <row r="1578" spans="1:2" x14ac:dyDescent="0.3">
      <c r="A1578" s="99">
        <v>44760</v>
      </c>
      <c r="B1578" s="103">
        <v>16278.5</v>
      </c>
    </row>
    <row r="1579" spans="1:2" x14ac:dyDescent="0.3">
      <c r="A1579" s="99">
        <v>44761</v>
      </c>
      <c r="B1579" s="103">
        <v>16340.5498046875</v>
      </c>
    </row>
    <row r="1580" spans="1:2" x14ac:dyDescent="0.3">
      <c r="A1580" s="99">
        <v>44762</v>
      </c>
      <c r="B1580" s="103">
        <v>16520.849609375</v>
      </c>
    </row>
    <row r="1581" spans="1:2" x14ac:dyDescent="0.3">
      <c r="A1581" s="99">
        <v>44763</v>
      </c>
      <c r="B1581" s="103">
        <v>16605.25</v>
      </c>
    </row>
    <row r="1582" spans="1:2" x14ac:dyDescent="0.3">
      <c r="A1582" s="99">
        <v>44764</v>
      </c>
      <c r="B1582" s="103">
        <v>16719.44921875</v>
      </c>
    </row>
    <row r="1583" spans="1:2" x14ac:dyDescent="0.3">
      <c r="A1583" s="99">
        <v>44767</v>
      </c>
      <c r="B1583" s="103">
        <v>16631</v>
      </c>
    </row>
    <row r="1584" spans="1:2" x14ac:dyDescent="0.3">
      <c r="A1584" s="99">
        <v>44768</v>
      </c>
      <c r="B1584" s="103">
        <v>16483.849609375</v>
      </c>
    </row>
    <row r="1585" spans="1:2" x14ac:dyDescent="0.3">
      <c r="A1585" s="99">
        <v>44769</v>
      </c>
      <c r="B1585" s="103">
        <v>16641.80078125</v>
      </c>
    </row>
    <row r="1586" spans="1:2" x14ac:dyDescent="0.3">
      <c r="A1586" s="99">
        <v>44770</v>
      </c>
      <c r="B1586" s="103">
        <v>16929.599609375</v>
      </c>
    </row>
    <row r="1587" spans="1:2" x14ac:dyDescent="0.3">
      <c r="A1587" s="99">
        <v>44771</v>
      </c>
      <c r="B1587" s="103">
        <v>17158.25</v>
      </c>
    </row>
    <row r="1588" spans="1:2" x14ac:dyDescent="0.3">
      <c r="A1588" s="99">
        <v>44774</v>
      </c>
      <c r="B1588" s="103">
        <v>17340.05078125</v>
      </c>
    </row>
    <row r="1589" spans="1:2" x14ac:dyDescent="0.3">
      <c r="A1589" s="99">
        <v>44775</v>
      </c>
      <c r="B1589" s="103">
        <v>17345.44921875</v>
      </c>
    </row>
    <row r="1590" spans="1:2" x14ac:dyDescent="0.3">
      <c r="A1590" s="99">
        <v>44776</v>
      </c>
      <c r="B1590" s="103">
        <v>17388.150390625</v>
      </c>
    </row>
    <row r="1591" spans="1:2" x14ac:dyDescent="0.3">
      <c r="A1591" s="99">
        <v>44777</v>
      </c>
      <c r="B1591" s="103">
        <v>17382</v>
      </c>
    </row>
    <row r="1592" spans="1:2" x14ac:dyDescent="0.3">
      <c r="A1592" s="99">
        <v>44778</v>
      </c>
      <c r="B1592" s="103">
        <v>17397.5</v>
      </c>
    </row>
    <row r="1593" spans="1:2" x14ac:dyDescent="0.3">
      <c r="A1593" s="99">
        <v>44781</v>
      </c>
      <c r="B1593" s="103">
        <v>17525.099609375</v>
      </c>
    </row>
    <row r="1594" spans="1:2" x14ac:dyDescent="0.3">
      <c r="A1594" s="99">
        <v>44783</v>
      </c>
      <c r="B1594" s="103">
        <v>17534.75</v>
      </c>
    </row>
    <row r="1595" spans="1:2" x14ac:dyDescent="0.3">
      <c r="A1595" s="99">
        <v>44784</v>
      </c>
      <c r="B1595" s="103">
        <v>17659</v>
      </c>
    </row>
    <row r="1596" spans="1:2" x14ac:dyDescent="0.3">
      <c r="A1596" s="99">
        <v>44785</v>
      </c>
      <c r="B1596" s="103">
        <v>17698.150390625</v>
      </c>
    </row>
    <row r="1597" spans="1:2" x14ac:dyDescent="0.3">
      <c r="A1597" s="99">
        <v>44789</v>
      </c>
      <c r="B1597" s="103">
        <v>17825.25</v>
      </c>
    </row>
    <row r="1598" spans="1:2" x14ac:dyDescent="0.3">
      <c r="A1598" s="99">
        <v>44790</v>
      </c>
      <c r="B1598" s="103">
        <v>17944.25</v>
      </c>
    </row>
    <row r="1599" spans="1:2" x14ac:dyDescent="0.3">
      <c r="A1599" s="99">
        <v>44791</v>
      </c>
      <c r="B1599" s="103">
        <v>17956.5</v>
      </c>
    </row>
    <row r="1600" spans="1:2" x14ac:dyDescent="0.3">
      <c r="A1600" s="99">
        <v>44792</v>
      </c>
      <c r="B1600" s="103">
        <v>17758.44921875</v>
      </c>
    </row>
    <row r="1601" spans="1:2" x14ac:dyDescent="0.3">
      <c r="A1601" s="99">
        <v>44795</v>
      </c>
      <c r="B1601" s="103">
        <v>17490.69921875</v>
      </c>
    </row>
    <row r="1602" spans="1:2" x14ac:dyDescent="0.3">
      <c r="A1602" s="99">
        <v>44796</v>
      </c>
      <c r="B1602" s="103">
        <v>17577.5</v>
      </c>
    </row>
    <row r="1603" spans="1:2" x14ac:dyDescent="0.3">
      <c r="A1603" s="99">
        <v>44797</v>
      </c>
      <c r="B1603" s="103">
        <v>17604.94921875</v>
      </c>
    </row>
    <row r="1604" spans="1:2" x14ac:dyDescent="0.3">
      <c r="A1604" s="99">
        <v>44798</v>
      </c>
      <c r="B1604" s="103">
        <v>17522.44921875</v>
      </c>
    </row>
    <row r="1605" spans="1:2" x14ac:dyDescent="0.3">
      <c r="A1605" s="99">
        <v>44799</v>
      </c>
      <c r="B1605" s="103">
        <v>17558.900390625</v>
      </c>
    </row>
    <row r="1606" spans="1:2" x14ac:dyDescent="0.3">
      <c r="A1606" s="99">
        <v>44802</v>
      </c>
      <c r="B1606" s="103">
        <v>17312.900390625</v>
      </c>
    </row>
    <row r="1607" spans="1:2" x14ac:dyDescent="0.3">
      <c r="A1607" s="99">
        <v>44803</v>
      </c>
      <c r="B1607" s="103">
        <v>17759.30078125</v>
      </c>
    </row>
    <row r="1608" spans="1:2" x14ac:dyDescent="0.3">
      <c r="A1608" s="99">
        <v>44805</v>
      </c>
      <c r="B1608" s="103">
        <v>17542.80078125</v>
      </c>
    </row>
    <row r="1609" spans="1:2" x14ac:dyDescent="0.3">
      <c r="A1609" s="99">
        <v>44806</v>
      </c>
      <c r="B1609" s="103">
        <v>17539.44921875</v>
      </c>
    </row>
    <row r="1610" spans="1:2" x14ac:dyDescent="0.3">
      <c r="A1610" s="99">
        <v>44809</v>
      </c>
      <c r="B1610" s="103">
        <v>17665.80078125</v>
      </c>
    </row>
    <row r="1611" spans="1:2" x14ac:dyDescent="0.3">
      <c r="A1611" s="99">
        <v>44810</v>
      </c>
      <c r="B1611" s="103">
        <v>17655.599609375</v>
      </c>
    </row>
    <row r="1612" spans="1:2" x14ac:dyDescent="0.3">
      <c r="A1612" s="99">
        <v>44811</v>
      </c>
      <c r="B1612" s="103">
        <v>17624.400390625</v>
      </c>
    </row>
    <row r="1613" spans="1:2" x14ac:dyDescent="0.3">
      <c r="A1613" s="99">
        <v>44812</v>
      </c>
      <c r="B1613" s="103">
        <v>17798.75</v>
      </c>
    </row>
    <row r="1614" spans="1:2" x14ac:dyDescent="0.3">
      <c r="A1614" s="99">
        <v>44813</v>
      </c>
      <c r="B1614" s="103">
        <v>17833.349609375</v>
      </c>
    </row>
    <row r="1615" spans="1:2" x14ac:dyDescent="0.3">
      <c r="A1615" s="99">
        <v>44816</v>
      </c>
      <c r="B1615" s="103">
        <v>17936.349609375</v>
      </c>
    </row>
    <row r="1616" spans="1:2" x14ac:dyDescent="0.3">
      <c r="A1616" s="99">
        <v>44817</v>
      </c>
      <c r="B1616" s="103">
        <v>18070.05078125</v>
      </c>
    </row>
    <row r="1617" spans="1:2" x14ac:dyDescent="0.3">
      <c r="A1617" s="99">
        <v>44818</v>
      </c>
      <c r="B1617" s="103">
        <v>18003.75</v>
      </c>
    </row>
    <row r="1618" spans="1:2" x14ac:dyDescent="0.3">
      <c r="A1618" s="99">
        <v>44819</v>
      </c>
      <c r="B1618" s="103">
        <v>17877.400390625</v>
      </c>
    </row>
    <row r="1619" spans="1:2" x14ac:dyDescent="0.3">
      <c r="A1619" s="99">
        <v>44820</v>
      </c>
      <c r="B1619" s="103">
        <v>17530.849609375</v>
      </c>
    </row>
    <row r="1620" spans="1:2" x14ac:dyDescent="0.3">
      <c r="A1620" s="99">
        <v>44823</v>
      </c>
      <c r="B1620" s="103">
        <v>17622.25</v>
      </c>
    </row>
    <row r="1621" spans="1:2" x14ac:dyDescent="0.3">
      <c r="A1621" s="99">
        <v>44824</v>
      </c>
      <c r="B1621" s="103">
        <v>17816.25</v>
      </c>
    </row>
    <row r="1622" spans="1:2" x14ac:dyDescent="0.3">
      <c r="A1622" s="99">
        <v>44825</v>
      </c>
      <c r="B1622" s="103">
        <v>17718.349609375</v>
      </c>
    </row>
    <row r="1623" spans="1:2" x14ac:dyDescent="0.3">
      <c r="A1623" s="99">
        <v>44826</v>
      </c>
      <c r="B1623" s="103">
        <v>17629.80078125</v>
      </c>
    </row>
    <row r="1624" spans="1:2" x14ac:dyDescent="0.3">
      <c r="A1624" s="99">
        <v>44827</v>
      </c>
      <c r="B1624" s="103">
        <v>17327.349609375</v>
      </c>
    </row>
    <row r="1625" spans="1:2" x14ac:dyDescent="0.3">
      <c r="A1625" s="99">
        <v>44830</v>
      </c>
      <c r="B1625" s="103">
        <v>17016.30078125</v>
      </c>
    </row>
    <row r="1626" spans="1:2" x14ac:dyDescent="0.3">
      <c r="A1626" s="99">
        <v>44831</v>
      </c>
      <c r="B1626" s="103">
        <v>17007.400390625</v>
      </c>
    </row>
    <row r="1627" spans="1:2" x14ac:dyDescent="0.3">
      <c r="A1627" s="99">
        <v>44832</v>
      </c>
      <c r="B1627" s="103">
        <v>16858.599609375</v>
      </c>
    </row>
    <row r="1628" spans="1:2" x14ac:dyDescent="0.3">
      <c r="A1628" s="99">
        <v>44833</v>
      </c>
      <c r="B1628" s="103">
        <v>16818.099609375</v>
      </c>
    </row>
    <row r="1629" spans="1:2" x14ac:dyDescent="0.3">
      <c r="A1629" s="99">
        <v>44834</v>
      </c>
      <c r="B1629" s="103">
        <v>17094.349609375</v>
      </c>
    </row>
    <row r="1630" spans="1:2" x14ac:dyDescent="0.3">
      <c r="A1630" s="99">
        <v>44837</v>
      </c>
      <c r="B1630" s="103">
        <v>16887.349609375</v>
      </c>
    </row>
    <row r="1631" spans="1:2" x14ac:dyDescent="0.3">
      <c r="A1631" s="99">
        <v>44838</v>
      </c>
      <c r="B1631" s="103">
        <v>17274.30078125</v>
      </c>
    </row>
    <row r="1632" spans="1:2" x14ac:dyDescent="0.3">
      <c r="A1632" s="99">
        <v>44840</v>
      </c>
      <c r="B1632" s="103">
        <v>17331.80078125</v>
      </c>
    </row>
    <row r="1633" spans="1:2" x14ac:dyDescent="0.3">
      <c r="A1633" s="99">
        <v>44841</v>
      </c>
      <c r="B1633" s="103">
        <v>17314.650390625</v>
      </c>
    </row>
    <row r="1634" spans="1:2" x14ac:dyDescent="0.3">
      <c r="A1634" s="99">
        <v>44844</v>
      </c>
      <c r="B1634" s="103">
        <v>17241</v>
      </c>
    </row>
    <row r="1635" spans="1:2" x14ac:dyDescent="0.3">
      <c r="A1635" s="99">
        <v>44845</v>
      </c>
      <c r="B1635" s="103">
        <v>16983.55078125</v>
      </c>
    </row>
    <row r="1636" spans="1:2" x14ac:dyDescent="0.3">
      <c r="A1636" s="99">
        <v>44846</v>
      </c>
      <c r="B1636" s="103">
        <v>17123.599609375</v>
      </c>
    </row>
    <row r="1637" spans="1:2" x14ac:dyDescent="0.3">
      <c r="A1637" s="99">
        <v>44847</v>
      </c>
      <c r="B1637" s="103">
        <v>17014.349609375</v>
      </c>
    </row>
    <row r="1638" spans="1:2" x14ac:dyDescent="0.3">
      <c r="A1638" s="99">
        <v>44848</v>
      </c>
      <c r="B1638" s="103">
        <v>17185.69921875</v>
      </c>
    </row>
    <row r="1639" spans="1:2" x14ac:dyDescent="0.3">
      <c r="A1639" s="99">
        <v>44851</v>
      </c>
      <c r="B1639" s="103">
        <v>17311.80078125</v>
      </c>
    </row>
    <row r="1640" spans="1:2" x14ac:dyDescent="0.3">
      <c r="A1640" s="99">
        <v>44852</v>
      </c>
      <c r="B1640" s="103">
        <v>17486.94921875</v>
      </c>
    </row>
    <row r="1641" spans="1:2" x14ac:dyDescent="0.3">
      <c r="A1641" s="99">
        <v>44853</v>
      </c>
      <c r="B1641" s="103">
        <v>17512.25</v>
      </c>
    </row>
    <row r="1642" spans="1:2" x14ac:dyDescent="0.3">
      <c r="A1642" s="99">
        <v>44854</v>
      </c>
      <c r="B1642" s="103">
        <v>17563.94921875</v>
      </c>
    </row>
    <row r="1643" spans="1:2" x14ac:dyDescent="0.3">
      <c r="A1643" s="99">
        <v>44855</v>
      </c>
      <c r="B1643" s="103">
        <v>17576.30078125</v>
      </c>
    </row>
    <row r="1644" spans="1:2" x14ac:dyDescent="0.3">
      <c r="A1644" s="99">
        <v>44858</v>
      </c>
      <c r="B1644" s="103">
        <v>17730.75</v>
      </c>
    </row>
    <row r="1645" spans="1:2" x14ac:dyDescent="0.3">
      <c r="A1645" s="99">
        <v>44859</v>
      </c>
      <c r="B1645" s="103">
        <v>17656.349609375</v>
      </c>
    </row>
    <row r="1646" spans="1:2" x14ac:dyDescent="0.3">
      <c r="A1646" s="99">
        <v>44861</v>
      </c>
      <c r="B1646" s="103">
        <v>17736.94921875</v>
      </c>
    </row>
    <row r="1647" spans="1:2" x14ac:dyDescent="0.3">
      <c r="A1647" s="99">
        <v>44862</v>
      </c>
      <c r="B1647" s="103">
        <v>17786.80078125</v>
      </c>
    </row>
    <row r="1648" spans="1:2" x14ac:dyDescent="0.3">
      <c r="A1648" s="99">
        <v>44865</v>
      </c>
      <c r="B1648" s="103">
        <v>18012.19921875</v>
      </c>
    </row>
    <row r="1649" spans="1:2" x14ac:dyDescent="0.3">
      <c r="A1649" s="99">
        <v>44866</v>
      </c>
      <c r="B1649" s="103">
        <v>18145.400390625</v>
      </c>
    </row>
    <row r="1650" spans="1:2" x14ac:dyDescent="0.3">
      <c r="A1650" s="99">
        <v>44867</v>
      </c>
      <c r="B1650" s="103">
        <v>18082.849609375</v>
      </c>
    </row>
    <row r="1651" spans="1:2" x14ac:dyDescent="0.3">
      <c r="A1651" s="99">
        <v>44868</v>
      </c>
      <c r="B1651" s="103">
        <v>18052.69921875</v>
      </c>
    </row>
    <row r="1652" spans="1:2" x14ac:dyDescent="0.3">
      <c r="A1652" s="99">
        <v>44869</v>
      </c>
      <c r="B1652" s="103">
        <v>18117.150390625</v>
      </c>
    </row>
    <row r="1653" spans="1:2" x14ac:dyDescent="0.3">
      <c r="A1653" s="99">
        <v>44872</v>
      </c>
      <c r="B1653" s="103">
        <v>18202.80078125</v>
      </c>
    </row>
    <row r="1654" spans="1:2" x14ac:dyDescent="0.3">
      <c r="A1654" s="99">
        <v>44874</v>
      </c>
      <c r="B1654" s="103">
        <v>18157</v>
      </c>
    </row>
    <row r="1655" spans="1:2" x14ac:dyDescent="0.3">
      <c r="A1655" s="99">
        <v>44875</v>
      </c>
      <c r="B1655" s="103">
        <v>18028.19921875</v>
      </c>
    </row>
    <row r="1656" spans="1:2" x14ac:dyDescent="0.3">
      <c r="A1656" s="99">
        <v>44876</v>
      </c>
      <c r="B1656" s="103">
        <v>18349.69921875</v>
      </c>
    </row>
    <row r="1657" spans="1:2" x14ac:dyDescent="0.3">
      <c r="A1657" s="99">
        <v>44879</v>
      </c>
      <c r="B1657" s="103">
        <v>18329.150390625</v>
      </c>
    </row>
    <row r="1658" spans="1:2" x14ac:dyDescent="0.3">
      <c r="A1658" s="99">
        <v>44880</v>
      </c>
      <c r="B1658" s="103">
        <v>18403.400390625</v>
      </c>
    </row>
    <row r="1659" spans="1:2" x14ac:dyDescent="0.3">
      <c r="A1659" s="99">
        <v>44881</v>
      </c>
      <c r="B1659" s="103">
        <v>18409.650390625</v>
      </c>
    </row>
    <row r="1660" spans="1:2" x14ac:dyDescent="0.3">
      <c r="A1660" s="99">
        <v>44882</v>
      </c>
      <c r="B1660" s="103">
        <v>18343.900390625</v>
      </c>
    </row>
    <row r="1661" spans="1:2" x14ac:dyDescent="0.3">
      <c r="A1661" s="99">
        <v>44883</v>
      </c>
      <c r="B1661" s="103">
        <v>18307.650390625</v>
      </c>
    </row>
    <row r="1662" spans="1:2" x14ac:dyDescent="0.3">
      <c r="A1662" s="99">
        <v>44886</v>
      </c>
      <c r="B1662" s="103">
        <v>18159.94921875</v>
      </c>
    </row>
    <row r="1663" spans="1:2" x14ac:dyDescent="0.3">
      <c r="A1663" s="99">
        <v>44887</v>
      </c>
      <c r="B1663" s="103">
        <v>18244.19921875</v>
      </c>
    </row>
    <row r="1664" spans="1:2" x14ac:dyDescent="0.3">
      <c r="A1664" s="99">
        <v>44888</v>
      </c>
      <c r="B1664" s="103">
        <v>18267.25</v>
      </c>
    </row>
    <row r="1665" spans="1:2" x14ac:dyDescent="0.3">
      <c r="A1665" s="99">
        <v>44889</v>
      </c>
      <c r="B1665" s="103">
        <v>18484.099609375</v>
      </c>
    </row>
    <row r="1666" spans="1:2" x14ac:dyDescent="0.3">
      <c r="A1666" s="99">
        <v>44890</v>
      </c>
      <c r="B1666" s="103">
        <v>18512.75</v>
      </c>
    </row>
    <row r="1667" spans="1:2" x14ac:dyDescent="0.3">
      <c r="A1667" s="99">
        <v>44893</v>
      </c>
      <c r="B1667" s="103">
        <v>18562.75</v>
      </c>
    </row>
    <row r="1668" spans="1:2" x14ac:dyDescent="0.3">
      <c r="A1668" s="99">
        <v>44894</v>
      </c>
      <c r="B1668" s="103">
        <v>18618.05078125</v>
      </c>
    </row>
    <row r="1669" spans="1:2" x14ac:dyDescent="0.3">
      <c r="A1669" s="99">
        <v>44895</v>
      </c>
      <c r="B1669" s="103">
        <v>18758.349609375</v>
      </c>
    </row>
    <row r="1670" spans="1:2" x14ac:dyDescent="0.3">
      <c r="A1670" s="99">
        <v>44896</v>
      </c>
      <c r="B1670" s="103">
        <v>18812.5</v>
      </c>
    </row>
    <row r="1671" spans="1:2" x14ac:dyDescent="0.3">
      <c r="A1671" s="99">
        <v>44897</v>
      </c>
      <c r="B1671" s="103">
        <v>18696.099609375</v>
      </c>
    </row>
    <row r="1672" spans="1:2" x14ac:dyDescent="0.3">
      <c r="A1672" s="99">
        <v>44900</v>
      </c>
      <c r="B1672" s="103">
        <v>18701.05078125</v>
      </c>
    </row>
    <row r="1673" spans="1:2" x14ac:dyDescent="0.3">
      <c r="A1673" s="99">
        <v>44901</v>
      </c>
      <c r="B1673" s="103">
        <v>18642.75</v>
      </c>
    </row>
    <row r="1674" spans="1:2" x14ac:dyDescent="0.3">
      <c r="A1674" s="99">
        <v>44902</v>
      </c>
      <c r="B1674" s="103">
        <v>18560.5</v>
      </c>
    </row>
    <row r="1675" spans="1:2" x14ac:dyDescent="0.3">
      <c r="A1675" s="99">
        <v>44903</v>
      </c>
      <c r="B1675" s="103">
        <v>18609.349609375</v>
      </c>
    </row>
    <row r="1676" spans="1:2" x14ac:dyDescent="0.3">
      <c r="A1676" s="99">
        <v>44904</v>
      </c>
      <c r="B1676" s="103">
        <v>18496.599609375</v>
      </c>
    </row>
    <row r="1677" spans="1:2" x14ac:dyDescent="0.3">
      <c r="A1677" s="99">
        <v>44907</v>
      </c>
      <c r="B1677" s="103">
        <v>18497.150390625</v>
      </c>
    </row>
    <row r="1678" spans="1:2" x14ac:dyDescent="0.3">
      <c r="A1678" s="99">
        <v>44908</v>
      </c>
      <c r="B1678" s="103">
        <v>18608</v>
      </c>
    </row>
    <row r="1679" spans="1:2" x14ac:dyDescent="0.3">
      <c r="A1679" s="99">
        <v>44909</v>
      </c>
      <c r="B1679" s="103">
        <v>18660.30078125</v>
      </c>
    </row>
    <row r="1680" spans="1:2" x14ac:dyDescent="0.3">
      <c r="A1680" s="99">
        <v>44910</v>
      </c>
      <c r="B1680" s="103">
        <v>18414.900390625</v>
      </c>
    </row>
    <row r="1681" spans="1:2" x14ac:dyDescent="0.3">
      <c r="A1681" s="99">
        <v>44911</v>
      </c>
      <c r="B1681" s="103">
        <v>18269</v>
      </c>
    </row>
    <row r="1682" spans="1:2" x14ac:dyDescent="0.3">
      <c r="A1682" s="99">
        <v>44914</v>
      </c>
      <c r="B1682" s="103">
        <v>18420.44921875</v>
      </c>
    </row>
    <row r="1683" spans="1:2" x14ac:dyDescent="0.3">
      <c r="A1683" s="99">
        <v>44915</v>
      </c>
      <c r="B1683" s="103">
        <v>18385.30078125</v>
      </c>
    </row>
    <row r="1684" spans="1:2" x14ac:dyDescent="0.3">
      <c r="A1684" s="99">
        <v>44916</v>
      </c>
      <c r="B1684" s="103">
        <v>18199.099609375</v>
      </c>
    </row>
    <row r="1685" spans="1:2" x14ac:dyDescent="0.3">
      <c r="A1685" s="99">
        <v>44917</v>
      </c>
      <c r="B1685" s="103">
        <v>18127.349609375</v>
      </c>
    </row>
    <row r="1686" spans="1:2" x14ac:dyDescent="0.3">
      <c r="A1686" s="99">
        <v>44918</v>
      </c>
      <c r="B1686" s="103">
        <v>17806.80078125</v>
      </c>
    </row>
    <row r="1687" spans="1:2" x14ac:dyDescent="0.3">
      <c r="A1687" s="99">
        <v>44921</v>
      </c>
      <c r="B1687" s="103">
        <v>18014.599609375</v>
      </c>
    </row>
    <row r="1688" spans="1:2" x14ac:dyDescent="0.3">
      <c r="A1688" s="99">
        <v>44922</v>
      </c>
      <c r="B1688" s="103">
        <v>18132.30078125</v>
      </c>
    </row>
    <row r="1689" spans="1:2" x14ac:dyDescent="0.3">
      <c r="A1689" s="99">
        <v>44923</v>
      </c>
      <c r="B1689" s="103">
        <v>18122.5</v>
      </c>
    </row>
    <row r="1690" spans="1:2" x14ac:dyDescent="0.3">
      <c r="A1690" s="99">
        <v>44924</v>
      </c>
      <c r="B1690" s="103">
        <v>18191</v>
      </c>
    </row>
    <row r="1691" spans="1:2" x14ac:dyDescent="0.3">
      <c r="A1691" s="99">
        <v>44925</v>
      </c>
      <c r="B1691" s="103">
        <v>18105.30078125</v>
      </c>
    </row>
    <row r="1692" spans="1:2" x14ac:dyDescent="0.3">
      <c r="A1692" s="99">
        <v>44928</v>
      </c>
      <c r="B1692" s="103">
        <v>18197.44921875</v>
      </c>
    </row>
    <row r="1693" spans="1:2" x14ac:dyDescent="0.3">
      <c r="A1693" s="99">
        <v>44929</v>
      </c>
      <c r="B1693" s="103">
        <v>18232.55078125</v>
      </c>
    </row>
    <row r="1694" spans="1:2" x14ac:dyDescent="0.3">
      <c r="A1694" s="99">
        <v>44930</v>
      </c>
      <c r="B1694" s="103">
        <v>18042.94921875</v>
      </c>
    </row>
    <row r="1695" spans="1:2" x14ac:dyDescent="0.3">
      <c r="A1695" s="99">
        <v>44931</v>
      </c>
      <c r="B1695" s="103">
        <v>17992.150390625</v>
      </c>
    </row>
    <row r="1696" spans="1:2" x14ac:dyDescent="0.3">
      <c r="A1696" s="99">
        <v>44932</v>
      </c>
      <c r="B1696" s="103">
        <v>17859.44921875</v>
      </c>
    </row>
    <row r="1697" spans="1:2" x14ac:dyDescent="0.3">
      <c r="A1697" s="99">
        <v>44935</v>
      </c>
      <c r="B1697" s="103">
        <v>18101.19921875</v>
      </c>
    </row>
    <row r="1698" spans="1:2" x14ac:dyDescent="0.3">
      <c r="A1698" s="99">
        <v>44936</v>
      </c>
      <c r="B1698" s="103">
        <v>17914.150390625</v>
      </c>
    </row>
    <row r="1699" spans="1:2" x14ac:dyDescent="0.3">
      <c r="A1699" s="99">
        <v>44937</v>
      </c>
      <c r="B1699" s="103">
        <v>17895.69921875</v>
      </c>
    </row>
    <row r="1700" spans="1:2" x14ac:dyDescent="0.3">
      <c r="A1700" s="99">
        <v>44938</v>
      </c>
      <c r="B1700" s="103">
        <v>17858.19921875</v>
      </c>
    </row>
    <row r="1701" spans="1:2" x14ac:dyDescent="0.3">
      <c r="A1701" s="99">
        <v>44939</v>
      </c>
      <c r="B1701" s="103">
        <v>17956.599609375</v>
      </c>
    </row>
    <row r="1702" spans="1:2" x14ac:dyDescent="0.3">
      <c r="A1702" s="99">
        <v>44942</v>
      </c>
      <c r="B1702" s="103">
        <v>17894.849609375</v>
      </c>
    </row>
    <row r="1703" spans="1:2" x14ac:dyDescent="0.3">
      <c r="A1703" s="99">
        <v>44943</v>
      </c>
      <c r="B1703" s="103">
        <v>18053.30078125</v>
      </c>
    </row>
    <row r="1704" spans="1:2" x14ac:dyDescent="0.3">
      <c r="A1704" s="99">
        <v>44944</v>
      </c>
      <c r="B1704" s="103">
        <v>18165.349609375</v>
      </c>
    </row>
    <row r="1705" spans="1:2" x14ac:dyDescent="0.3">
      <c r="A1705" s="99">
        <v>44945</v>
      </c>
      <c r="B1705" s="103">
        <v>18107.849609375</v>
      </c>
    </row>
    <row r="1706" spans="1:2" x14ac:dyDescent="0.3">
      <c r="A1706" s="99">
        <v>44946</v>
      </c>
      <c r="B1706" s="103">
        <v>18027.650390625</v>
      </c>
    </row>
    <row r="1707" spans="1:2" x14ac:dyDescent="0.3">
      <c r="A1707" s="99">
        <v>44949</v>
      </c>
      <c r="B1707" s="103">
        <v>18118.55078125</v>
      </c>
    </row>
    <row r="1708" spans="1:2" x14ac:dyDescent="0.3">
      <c r="A1708" s="99">
        <v>44950</v>
      </c>
      <c r="B1708" s="103">
        <v>18118.30078125</v>
      </c>
    </row>
    <row r="1709" spans="1:2" x14ac:dyDescent="0.3">
      <c r="A1709" s="99">
        <v>44951</v>
      </c>
      <c r="B1709" s="103">
        <v>17891.94921875</v>
      </c>
    </row>
    <row r="1710" spans="1:2" x14ac:dyDescent="0.3">
      <c r="A1710" s="99">
        <v>44953</v>
      </c>
      <c r="B1710" s="103">
        <v>17604.349609375</v>
      </c>
    </row>
    <row r="1711" spans="1:2" x14ac:dyDescent="0.3">
      <c r="A1711" s="99">
        <v>44956</v>
      </c>
      <c r="B1711" s="103">
        <v>17648.94921875</v>
      </c>
    </row>
    <row r="1712" spans="1:2" x14ac:dyDescent="0.3">
      <c r="A1712" s="99">
        <v>44957</v>
      </c>
      <c r="B1712" s="103">
        <v>17662.150390625</v>
      </c>
    </row>
    <row r="1713" spans="1:2" x14ac:dyDescent="0.3">
      <c r="A1713" s="99">
        <v>44958</v>
      </c>
      <c r="B1713" s="103">
        <v>17616.30078125</v>
      </c>
    </row>
    <row r="1714" spans="1:2" x14ac:dyDescent="0.3">
      <c r="A1714" s="99">
        <v>44959</v>
      </c>
      <c r="B1714" s="103">
        <v>17610.400390625</v>
      </c>
    </row>
    <row r="1715" spans="1:2" x14ac:dyDescent="0.3">
      <c r="A1715" s="99">
        <v>44960</v>
      </c>
      <c r="B1715" s="103">
        <v>17854.05078125</v>
      </c>
    </row>
    <row r="1716" spans="1:2" x14ac:dyDescent="0.3">
      <c r="A1716" s="99">
        <v>44963</v>
      </c>
      <c r="B1716" s="103">
        <v>17764.599609375</v>
      </c>
    </row>
    <row r="1717" spans="1:2" x14ac:dyDescent="0.3">
      <c r="A1717" s="99">
        <v>44964</v>
      </c>
      <c r="B1717" s="103">
        <v>17721.5</v>
      </c>
    </row>
    <row r="1718" spans="1:2" x14ac:dyDescent="0.3">
      <c r="A1718" s="99">
        <v>44965</v>
      </c>
      <c r="B1718" s="103">
        <v>17871.69921875</v>
      </c>
    </row>
    <row r="1719" spans="1:2" x14ac:dyDescent="0.3">
      <c r="A1719" s="99">
        <v>44966</v>
      </c>
      <c r="B1719" s="103">
        <v>17893.44921875</v>
      </c>
    </row>
    <row r="1720" spans="1:2" x14ac:dyDescent="0.3">
      <c r="A1720" s="99">
        <v>44967</v>
      </c>
      <c r="B1720" s="103">
        <v>17856.5</v>
      </c>
    </row>
    <row r="1721" spans="1:2" x14ac:dyDescent="0.3">
      <c r="A1721" s="99">
        <v>44970</v>
      </c>
      <c r="B1721" s="103">
        <v>17770.900390625</v>
      </c>
    </row>
    <row r="1722" spans="1:2" x14ac:dyDescent="0.3">
      <c r="A1722" s="99">
        <v>44971</v>
      </c>
      <c r="B1722" s="103">
        <v>17929.849609375</v>
      </c>
    </row>
    <row r="1723" spans="1:2" x14ac:dyDescent="0.3">
      <c r="A1723" s="99">
        <v>44972</v>
      </c>
      <c r="B1723" s="103">
        <v>18015.849609375</v>
      </c>
    </row>
    <row r="1724" spans="1:2" x14ac:dyDescent="0.3">
      <c r="A1724" s="99">
        <v>44973</v>
      </c>
      <c r="B1724" s="103">
        <v>18035.849609375</v>
      </c>
    </row>
    <row r="1725" spans="1:2" x14ac:dyDescent="0.3">
      <c r="A1725" s="99">
        <v>44974</v>
      </c>
      <c r="B1725" s="103">
        <v>17944.19921875</v>
      </c>
    </row>
    <row r="1726" spans="1:2" x14ac:dyDescent="0.3">
      <c r="A1726" s="99">
        <v>44977</v>
      </c>
      <c r="B1726" s="103">
        <v>17844.599609375</v>
      </c>
    </row>
    <row r="1727" spans="1:2" x14ac:dyDescent="0.3">
      <c r="A1727" s="99">
        <v>44978</v>
      </c>
      <c r="B1727" s="103">
        <v>17826.69921875</v>
      </c>
    </row>
    <row r="1728" spans="1:2" x14ac:dyDescent="0.3">
      <c r="A1728" s="99">
        <v>44979</v>
      </c>
      <c r="B1728" s="103">
        <v>17554.30078125</v>
      </c>
    </row>
    <row r="1729" spans="1:2" x14ac:dyDescent="0.3">
      <c r="A1729" s="99">
        <v>44980</v>
      </c>
      <c r="B1729" s="103">
        <v>17511.25</v>
      </c>
    </row>
    <row r="1730" spans="1:2" x14ac:dyDescent="0.3">
      <c r="A1730" s="99">
        <v>44981</v>
      </c>
      <c r="B1730" s="103">
        <v>17465.80078125</v>
      </c>
    </row>
    <row r="1731" spans="1:2" x14ac:dyDescent="0.3">
      <c r="A1731" s="99">
        <v>44984</v>
      </c>
      <c r="B1731" s="103">
        <v>17392.69921875</v>
      </c>
    </row>
    <row r="1732" spans="1:2" x14ac:dyDescent="0.3">
      <c r="A1732" s="99">
        <v>44985</v>
      </c>
      <c r="B1732" s="103">
        <v>17303.94921875</v>
      </c>
    </row>
    <row r="1733" spans="1:2" x14ac:dyDescent="0.3">
      <c r="A1733" s="99">
        <v>44986</v>
      </c>
      <c r="B1733" s="103">
        <v>17450.900390625</v>
      </c>
    </row>
    <row r="1734" spans="1:2" x14ac:dyDescent="0.3">
      <c r="A1734" s="99">
        <v>44987</v>
      </c>
      <c r="B1734" s="103">
        <v>17321.900390625</v>
      </c>
    </row>
    <row r="1735" spans="1:2" x14ac:dyDescent="0.3">
      <c r="A1735" s="99">
        <v>44988</v>
      </c>
      <c r="B1735" s="103">
        <v>17594.349609375</v>
      </c>
    </row>
    <row r="1736" spans="1:2" x14ac:dyDescent="0.3">
      <c r="A1736" s="99">
        <v>44991</v>
      </c>
      <c r="B1736" s="103">
        <v>17711.44921875</v>
      </c>
    </row>
    <row r="1737" spans="1:2" x14ac:dyDescent="0.3">
      <c r="A1737" s="99">
        <v>44993</v>
      </c>
      <c r="B1737" s="103">
        <v>17754.400390625</v>
      </c>
    </row>
    <row r="1738" spans="1:2" x14ac:dyDescent="0.3">
      <c r="A1738" s="99">
        <v>44994</v>
      </c>
      <c r="B1738" s="103">
        <v>17589.599609375</v>
      </c>
    </row>
    <row r="1739" spans="1:2" x14ac:dyDescent="0.3">
      <c r="A1739" s="99">
        <v>44995</v>
      </c>
      <c r="B1739" s="103">
        <v>17412.900390625</v>
      </c>
    </row>
    <row r="1740" spans="1:2" x14ac:dyDescent="0.3">
      <c r="A1740" s="99">
        <v>44998</v>
      </c>
      <c r="B1740" s="103">
        <v>17154.30078125</v>
      </c>
    </row>
    <row r="1741" spans="1:2" x14ac:dyDescent="0.3">
      <c r="A1741" s="99">
        <v>44999</v>
      </c>
      <c r="B1741" s="103">
        <v>17043.30078125</v>
      </c>
    </row>
    <row r="1742" spans="1:2" x14ac:dyDescent="0.3">
      <c r="A1742" s="99">
        <v>45000</v>
      </c>
      <c r="B1742" s="103">
        <v>16972.150390625</v>
      </c>
    </row>
    <row r="1743" spans="1:2" x14ac:dyDescent="0.3">
      <c r="A1743" s="99">
        <v>45001</v>
      </c>
      <c r="B1743" s="103">
        <v>16985.599609375</v>
      </c>
    </row>
    <row r="1744" spans="1:2" x14ac:dyDescent="0.3">
      <c r="A1744" s="99">
        <v>45002</v>
      </c>
      <c r="B1744" s="103">
        <v>17100.05078125</v>
      </c>
    </row>
    <row r="1745" spans="1:2" x14ac:dyDescent="0.3">
      <c r="A1745" s="99">
        <v>45005</v>
      </c>
      <c r="B1745" s="103">
        <v>16988.400390625</v>
      </c>
    </row>
    <row r="1746" spans="1:2" x14ac:dyDescent="0.3">
      <c r="A1746" s="99">
        <v>45006</v>
      </c>
      <c r="B1746" s="103">
        <v>17107.5</v>
      </c>
    </row>
    <row r="1747" spans="1:2" x14ac:dyDescent="0.3">
      <c r="A1747" s="99">
        <v>45007</v>
      </c>
      <c r="B1747" s="103">
        <v>17151.900390625</v>
      </c>
    </row>
    <row r="1748" spans="1:2" x14ac:dyDescent="0.3">
      <c r="A1748" s="99">
        <v>45008</v>
      </c>
      <c r="B1748" s="103">
        <v>17076.900390625</v>
      </c>
    </row>
    <row r="1749" spans="1:2" x14ac:dyDescent="0.3">
      <c r="A1749" s="99">
        <v>45009</v>
      </c>
      <c r="B1749" s="103">
        <v>16945.05078125</v>
      </c>
    </row>
    <row r="1750" spans="1:2" x14ac:dyDescent="0.3">
      <c r="A1750" s="99">
        <v>45012</v>
      </c>
      <c r="B1750" s="103">
        <v>16985.69921875</v>
      </c>
    </row>
    <row r="1751" spans="1:2" x14ac:dyDescent="0.3">
      <c r="A1751" s="99">
        <v>45013</v>
      </c>
      <c r="B1751" s="103">
        <v>16951.69921875</v>
      </c>
    </row>
    <row r="1752" spans="1:2" x14ac:dyDescent="0.3">
      <c r="A1752" s="99">
        <v>45014</v>
      </c>
      <c r="B1752" s="103">
        <v>17080.69921875</v>
      </c>
    </row>
    <row r="1753" spans="1:2" x14ac:dyDescent="0.3">
      <c r="A1753" s="99">
        <v>45016</v>
      </c>
      <c r="B1753" s="103">
        <v>17359.75</v>
      </c>
    </row>
    <row r="1754" spans="1:2" x14ac:dyDescent="0.3">
      <c r="A1754" s="99">
        <v>45019</v>
      </c>
      <c r="B1754" s="103">
        <v>17398.05078125</v>
      </c>
    </row>
    <row r="1755" spans="1:2" x14ac:dyDescent="0.3">
      <c r="A1755" s="99">
        <v>45021</v>
      </c>
      <c r="B1755" s="103">
        <v>17557.05078125</v>
      </c>
    </row>
    <row r="1756" spans="1:2" x14ac:dyDescent="0.3">
      <c r="A1756" s="99">
        <v>45022</v>
      </c>
      <c r="B1756" s="103">
        <v>17599.150390625</v>
      </c>
    </row>
    <row r="1757" spans="1:2" x14ac:dyDescent="0.3">
      <c r="A1757" s="99">
        <v>45026</v>
      </c>
      <c r="B1757" s="103">
        <v>17624.05078125</v>
      </c>
    </row>
    <row r="1758" spans="1:2" x14ac:dyDescent="0.3">
      <c r="A1758" s="99">
        <v>45027</v>
      </c>
      <c r="B1758" s="103">
        <v>17722.30078125</v>
      </c>
    </row>
    <row r="1759" spans="1:2" x14ac:dyDescent="0.3">
      <c r="A1759" s="99">
        <v>45028</v>
      </c>
      <c r="B1759" s="103">
        <v>17812.400390625</v>
      </c>
    </row>
    <row r="1760" spans="1:2" x14ac:dyDescent="0.3">
      <c r="A1760" s="99">
        <v>45029</v>
      </c>
      <c r="B1760" s="103">
        <v>17828</v>
      </c>
    </row>
    <row r="1761" spans="1:2" x14ac:dyDescent="0.3">
      <c r="A1761" s="99">
        <v>45033</v>
      </c>
      <c r="B1761" s="103">
        <v>17706.849609375</v>
      </c>
    </row>
    <row r="1762" spans="1:2" x14ac:dyDescent="0.3">
      <c r="A1762" s="99">
        <v>45034</v>
      </c>
      <c r="B1762" s="103">
        <v>17660.150390625</v>
      </c>
    </row>
    <row r="1763" spans="1:2" x14ac:dyDescent="0.3">
      <c r="A1763" s="99">
        <v>45035</v>
      </c>
      <c r="B1763" s="103">
        <v>17618.75</v>
      </c>
    </row>
    <row r="1764" spans="1:2" x14ac:dyDescent="0.3">
      <c r="A1764" s="99">
        <v>45036</v>
      </c>
      <c r="B1764" s="103">
        <v>17624.44921875</v>
      </c>
    </row>
    <row r="1765" spans="1:2" x14ac:dyDescent="0.3">
      <c r="A1765" s="99">
        <v>45037</v>
      </c>
      <c r="B1765" s="103">
        <v>17624.05078125</v>
      </c>
    </row>
    <row r="1766" spans="1:2" x14ac:dyDescent="0.3">
      <c r="A1766" s="99">
        <v>45040</v>
      </c>
      <c r="B1766" s="103">
        <v>17743.400390625</v>
      </c>
    </row>
    <row r="1767" spans="1:2" x14ac:dyDescent="0.3">
      <c r="A1767" s="99">
        <v>45041</v>
      </c>
      <c r="B1767" s="103">
        <v>17769.25</v>
      </c>
    </row>
    <row r="1768" spans="1:2" x14ac:dyDescent="0.3">
      <c r="A1768" s="99">
        <v>45042</v>
      </c>
      <c r="B1768" s="103">
        <v>17813.599609375</v>
      </c>
    </row>
    <row r="1769" spans="1:2" x14ac:dyDescent="0.3">
      <c r="A1769" s="99">
        <v>45043</v>
      </c>
      <c r="B1769" s="103">
        <v>17915.05078125</v>
      </c>
    </row>
    <row r="1770" spans="1:2" x14ac:dyDescent="0.3">
      <c r="A1770" s="99">
        <v>45044</v>
      </c>
      <c r="B1770" s="103">
        <v>18065</v>
      </c>
    </row>
    <row r="1771" spans="1:2" x14ac:dyDescent="0.3">
      <c r="A1771" s="99">
        <v>45048</v>
      </c>
      <c r="B1771" s="103">
        <v>18147.650390625</v>
      </c>
    </row>
    <row r="1772" spans="1:2" x14ac:dyDescent="0.3">
      <c r="A1772" s="99">
        <v>45049</v>
      </c>
      <c r="B1772" s="103">
        <v>18089.849609375</v>
      </c>
    </row>
    <row r="1773" spans="1:2" x14ac:dyDescent="0.3">
      <c r="A1773" s="99">
        <v>45050</v>
      </c>
      <c r="B1773" s="103">
        <v>18255.80078125</v>
      </c>
    </row>
    <row r="1774" spans="1:2" x14ac:dyDescent="0.3">
      <c r="A1774" s="99">
        <v>45051</v>
      </c>
      <c r="B1774" s="103">
        <v>18069</v>
      </c>
    </row>
    <row r="1775" spans="1:2" x14ac:dyDescent="0.3">
      <c r="A1775" s="99">
        <v>45054</v>
      </c>
      <c r="B1775" s="103">
        <v>18264.400390625</v>
      </c>
    </row>
    <row r="1776" spans="1:2" x14ac:dyDescent="0.3">
      <c r="A1776" s="99">
        <v>45055</v>
      </c>
      <c r="B1776" s="103">
        <v>18265.94921875</v>
      </c>
    </row>
    <row r="1777" spans="1:2" x14ac:dyDescent="0.3">
      <c r="A1777" s="99">
        <v>45056</v>
      </c>
      <c r="B1777" s="103">
        <v>18315.099609375</v>
      </c>
    </row>
    <row r="1778" spans="1:2" x14ac:dyDescent="0.3">
      <c r="A1778" s="99">
        <v>45057</v>
      </c>
      <c r="B1778" s="103">
        <v>18297</v>
      </c>
    </row>
    <row r="1779" spans="1:2" x14ac:dyDescent="0.3">
      <c r="A1779" s="99">
        <v>45058</v>
      </c>
      <c r="B1779" s="103">
        <v>18314.80078125</v>
      </c>
    </row>
    <row r="1780" spans="1:2" x14ac:dyDescent="0.3">
      <c r="A1780" s="99">
        <v>45061</v>
      </c>
      <c r="B1780" s="103">
        <v>18398.849609375</v>
      </c>
    </row>
    <row r="1781" spans="1:2" x14ac:dyDescent="0.3">
      <c r="A1781" s="99">
        <v>45062</v>
      </c>
      <c r="B1781" s="103">
        <v>18286.5</v>
      </c>
    </row>
    <row r="1782" spans="1:2" x14ac:dyDescent="0.3">
      <c r="A1782" s="99">
        <v>45063</v>
      </c>
      <c r="B1782" s="103">
        <v>18181.75</v>
      </c>
    </row>
    <row r="1783" spans="1:2" x14ac:dyDescent="0.3">
      <c r="A1783" s="99">
        <v>45064</v>
      </c>
      <c r="B1783" s="103">
        <v>18129.94921875</v>
      </c>
    </row>
    <row r="1784" spans="1:2" x14ac:dyDescent="0.3">
      <c r="A1784" s="99">
        <v>45065</v>
      </c>
      <c r="B1784" s="103">
        <v>18203.400390625</v>
      </c>
    </row>
    <row r="1785" spans="1:2" x14ac:dyDescent="0.3">
      <c r="A1785" s="99">
        <v>45068</v>
      </c>
      <c r="B1785" s="103">
        <v>18314.400390625</v>
      </c>
    </row>
    <row r="1786" spans="1:2" x14ac:dyDescent="0.3">
      <c r="A1786" s="99">
        <v>45069</v>
      </c>
      <c r="B1786" s="103">
        <v>18348</v>
      </c>
    </row>
    <row r="1787" spans="1:2" x14ac:dyDescent="0.3">
      <c r="A1787" s="99">
        <v>45070</v>
      </c>
      <c r="B1787" s="103">
        <v>18285.400390625</v>
      </c>
    </row>
    <row r="1788" spans="1:2" x14ac:dyDescent="0.3">
      <c r="A1788" s="99">
        <v>45071</v>
      </c>
      <c r="B1788" s="103">
        <v>18321.150390625</v>
      </c>
    </row>
    <row r="1789" spans="1:2" x14ac:dyDescent="0.3">
      <c r="A1789" s="99">
        <v>45072</v>
      </c>
      <c r="B1789" s="103">
        <v>18499.349609375</v>
      </c>
    </row>
    <row r="1790" spans="1:2" x14ac:dyDescent="0.3">
      <c r="A1790" s="99">
        <v>45075</v>
      </c>
      <c r="B1790" s="103">
        <v>18598.650390625</v>
      </c>
    </row>
    <row r="1791" spans="1:2" x14ac:dyDescent="0.3">
      <c r="A1791" s="99">
        <v>45076</v>
      </c>
      <c r="B1791" s="103">
        <v>18633.849609375</v>
      </c>
    </row>
    <row r="1792" spans="1:2" x14ac:dyDescent="0.3">
      <c r="A1792" s="99">
        <v>45077</v>
      </c>
      <c r="B1792" s="103">
        <v>18534.400390625</v>
      </c>
    </row>
    <row r="1793" spans="1:2" x14ac:dyDescent="0.3">
      <c r="A1793" s="99">
        <v>45078</v>
      </c>
      <c r="B1793" s="103">
        <v>18487.75</v>
      </c>
    </row>
    <row r="1794" spans="1:2" x14ac:dyDescent="0.3">
      <c r="A1794" s="99">
        <v>45079</v>
      </c>
      <c r="B1794" s="103">
        <v>18534.099609375</v>
      </c>
    </row>
    <row r="1795" spans="1:2" x14ac:dyDescent="0.3">
      <c r="A1795" s="99">
        <v>45082</v>
      </c>
      <c r="B1795" s="103">
        <v>18593.849609375</v>
      </c>
    </row>
    <row r="1796" spans="1:2" x14ac:dyDescent="0.3">
      <c r="A1796" s="99">
        <v>45083</v>
      </c>
      <c r="B1796" s="103">
        <v>18599</v>
      </c>
    </row>
    <row r="1797" spans="1:2" x14ac:dyDescent="0.3">
      <c r="A1797" s="99">
        <v>45084</v>
      </c>
      <c r="B1797" s="103">
        <v>18726.400390625</v>
      </c>
    </row>
    <row r="1798" spans="1:2" x14ac:dyDescent="0.3">
      <c r="A1798" s="99">
        <v>45085</v>
      </c>
      <c r="B1798" s="103">
        <v>18634.55078125</v>
      </c>
    </row>
    <row r="1799" spans="1:2" x14ac:dyDescent="0.3">
      <c r="A1799" s="99">
        <v>45086</v>
      </c>
      <c r="B1799" s="103">
        <v>18563.400390625</v>
      </c>
    </row>
    <row r="1800" spans="1:2" x14ac:dyDescent="0.3">
      <c r="A1800" s="99">
        <v>45089</v>
      </c>
      <c r="B1800" s="103">
        <v>18601.5</v>
      </c>
    </row>
    <row r="1801" spans="1:2" x14ac:dyDescent="0.3">
      <c r="A1801" s="99">
        <v>45090</v>
      </c>
      <c r="B1801" s="103">
        <v>18716.150390625</v>
      </c>
    </row>
    <row r="1802" spans="1:2" x14ac:dyDescent="0.3">
      <c r="A1802" s="99">
        <v>45091</v>
      </c>
      <c r="B1802" s="103">
        <v>18755.900390625</v>
      </c>
    </row>
    <row r="1803" spans="1:2" x14ac:dyDescent="0.3">
      <c r="A1803" s="99">
        <v>45092</v>
      </c>
      <c r="B1803" s="103">
        <v>18688.099609375</v>
      </c>
    </row>
    <row r="1804" spans="1:2" x14ac:dyDescent="0.3">
      <c r="A1804" s="99">
        <v>45093</v>
      </c>
      <c r="B1804" s="103">
        <v>18826</v>
      </c>
    </row>
    <row r="1805" spans="1:2" x14ac:dyDescent="0.3">
      <c r="A1805" s="99">
        <v>45096</v>
      </c>
      <c r="B1805" s="103">
        <v>18755.44921875</v>
      </c>
    </row>
    <row r="1806" spans="1:2" x14ac:dyDescent="0.3">
      <c r="A1806" s="99">
        <v>45097</v>
      </c>
      <c r="B1806" s="103">
        <v>18816.69921875</v>
      </c>
    </row>
    <row r="1807" spans="1:2" x14ac:dyDescent="0.3">
      <c r="A1807" s="99">
        <v>45098</v>
      </c>
      <c r="B1807" s="103">
        <v>18856.849609375</v>
      </c>
    </row>
    <row r="1808" spans="1:2" x14ac:dyDescent="0.3">
      <c r="A1808" s="99">
        <v>45099</v>
      </c>
      <c r="B1808" s="103">
        <v>18771.25</v>
      </c>
    </row>
    <row r="1809" spans="1:2" x14ac:dyDescent="0.3">
      <c r="A1809" s="99">
        <v>45100</v>
      </c>
      <c r="B1809" s="103">
        <v>18665.5</v>
      </c>
    </row>
    <row r="1810" spans="1:2" x14ac:dyDescent="0.3">
      <c r="A1810" s="99">
        <v>45103</v>
      </c>
      <c r="B1810" s="103">
        <v>18691.19921875</v>
      </c>
    </row>
    <row r="1811" spans="1:2" x14ac:dyDescent="0.3">
      <c r="A1811" s="99">
        <v>45104</v>
      </c>
      <c r="B1811" s="103">
        <v>18817.400390625</v>
      </c>
    </row>
    <row r="1812" spans="1:2" x14ac:dyDescent="0.3">
      <c r="A1812" s="99">
        <v>45105</v>
      </c>
      <c r="B1812" s="103">
        <v>18972.099609375</v>
      </c>
    </row>
    <row r="1813" spans="1:2" x14ac:dyDescent="0.3">
      <c r="A1813" s="99">
        <v>45107</v>
      </c>
      <c r="B1813" s="103">
        <v>19189.05078125</v>
      </c>
    </row>
    <row r="1814" spans="1:2" x14ac:dyDescent="0.3">
      <c r="A1814" s="99">
        <v>45110</v>
      </c>
      <c r="B1814" s="103">
        <v>19322.55078125</v>
      </c>
    </row>
    <row r="1815" spans="1:2" x14ac:dyDescent="0.3">
      <c r="A1815" s="99">
        <v>45111</v>
      </c>
      <c r="B1815" s="103">
        <v>19389</v>
      </c>
    </row>
    <row r="1816" spans="1:2" x14ac:dyDescent="0.3">
      <c r="A1816" s="99">
        <v>45112</v>
      </c>
      <c r="B1816" s="103">
        <v>19398.5</v>
      </c>
    </row>
    <row r="1817" spans="1:2" x14ac:dyDescent="0.3">
      <c r="A1817" s="99">
        <v>45113</v>
      </c>
      <c r="B1817" s="103">
        <v>19497.30078125</v>
      </c>
    </row>
    <row r="1818" spans="1:2" x14ac:dyDescent="0.3">
      <c r="A1818" s="99">
        <v>45114</v>
      </c>
      <c r="B1818" s="103">
        <v>19331.80078125</v>
      </c>
    </row>
    <row r="1819" spans="1:2" x14ac:dyDescent="0.3">
      <c r="A1819" s="99">
        <v>45117</v>
      </c>
      <c r="B1819" s="103">
        <v>19355.900390625</v>
      </c>
    </row>
    <row r="1820" spans="1:2" x14ac:dyDescent="0.3">
      <c r="A1820" s="99">
        <v>45118</v>
      </c>
      <c r="B1820" s="103">
        <v>19439.400390625</v>
      </c>
    </row>
    <row r="1821" spans="1:2" x14ac:dyDescent="0.3">
      <c r="A1821" s="99">
        <v>45119</v>
      </c>
      <c r="B1821" s="103">
        <v>19384.30078125</v>
      </c>
    </row>
    <row r="1822" spans="1:2" x14ac:dyDescent="0.3">
      <c r="A1822" s="99">
        <v>45120</v>
      </c>
      <c r="B1822" s="103">
        <v>19413.75</v>
      </c>
    </row>
    <row r="1823" spans="1:2" x14ac:dyDescent="0.3">
      <c r="A1823" s="99">
        <v>45121</v>
      </c>
      <c r="B1823" s="103">
        <v>19564.5</v>
      </c>
    </row>
    <row r="1824" spans="1:2" x14ac:dyDescent="0.3">
      <c r="A1824" s="99">
        <v>45124</v>
      </c>
      <c r="B1824" s="103">
        <v>19711.44921875</v>
      </c>
    </row>
    <row r="1825" spans="1:2" x14ac:dyDescent="0.3">
      <c r="A1825" s="99">
        <v>45125</v>
      </c>
      <c r="B1825" s="103">
        <v>19749.25</v>
      </c>
    </row>
    <row r="1826" spans="1:2" x14ac:dyDescent="0.3">
      <c r="A1826" s="99">
        <v>45126</v>
      </c>
      <c r="B1826" s="103">
        <v>19833.150390625</v>
      </c>
    </row>
    <row r="1827" spans="1:2" x14ac:dyDescent="0.3">
      <c r="A1827" s="99">
        <v>45127</v>
      </c>
      <c r="B1827" s="103">
        <v>19979.150390625</v>
      </c>
    </row>
    <row r="1828" spans="1:2" x14ac:dyDescent="0.3">
      <c r="A1828" s="99">
        <v>45128</v>
      </c>
      <c r="B1828" s="103">
        <v>19745</v>
      </c>
    </row>
    <row r="1829" spans="1:2" x14ac:dyDescent="0.3">
      <c r="A1829" s="99">
        <v>45131</v>
      </c>
      <c r="B1829" s="103">
        <v>19672.349609375</v>
      </c>
    </row>
    <row r="1830" spans="1:2" x14ac:dyDescent="0.3">
      <c r="A1830" s="99">
        <v>45132</v>
      </c>
      <c r="B1830" s="103">
        <v>19680.599609375</v>
      </c>
    </row>
    <row r="1831" spans="1:2" x14ac:dyDescent="0.3">
      <c r="A1831" s="99">
        <v>45133</v>
      </c>
      <c r="B1831" s="103">
        <v>19778.30078125</v>
      </c>
    </row>
    <row r="1832" spans="1:2" x14ac:dyDescent="0.3">
      <c r="A1832" s="99">
        <v>45134</v>
      </c>
      <c r="B1832" s="103">
        <v>19659.900390625</v>
      </c>
    </row>
    <row r="1833" spans="1:2" x14ac:dyDescent="0.3">
      <c r="A1833" s="99">
        <v>45135</v>
      </c>
      <c r="B1833" s="103">
        <v>19646.05078125</v>
      </c>
    </row>
    <row r="1834" spans="1:2" x14ac:dyDescent="0.3">
      <c r="A1834" s="99">
        <v>45138</v>
      </c>
      <c r="B1834" s="103">
        <v>19753.80078125</v>
      </c>
    </row>
    <row r="1835" spans="1:2" x14ac:dyDescent="0.3">
      <c r="A1835" s="99">
        <v>45139</v>
      </c>
      <c r="B1835" s="103">
        <v>19733.55078125</v>
      </c>
    </row>
    <row r="1836" spans="1:2" x14ac:dyDescent="0.3">
      <c r="A1836" s="99">
        <v>45140</v>
      </c>
      <c r="B1836" s="103">
        <v>19526.55078125</v>
      </c>
    </row>
    <row r="1837" spans="1:2" x14ac:dyDescent="0.3">
      <c r="A1837" s="99">
        <v>45141</v>
      </c>
      <c r="B1837" s="103">
        <v>19381.650390625</v>
      </c>
    </row>
    <row r="1838" spans="1:2" x14ac:dyDescent="0.3">
      <c r="A1838" s="99">
        <v>45142</v>
      </c>
      <c r="B1838" s="103">
        <v>19517</v>
      </c>
    </row>
    <row r="1839" spans="1:2" x14ac:dyDescent="0.3">
      <c r="A1839" s="99">
        <v>45145</v>
      </c>
      <c r="B1839" s="103">
        <v>19597.30078125</v>
      </c>
    </row>
    <row r="1840" spans="1:2" x14ac:dyDescent="0.3">
      <c r="A1840" s="99">
        <v>45146</v>
      </c>
      <c r="B1840" s="103">
        <v>19570.849609375</v>
      </c>
    </row>
    <row r="1841" spans="1:2" x14ac:dyDescent="0.3">
      <c r="A1841" s="99">
        <v>45147</v>
      </c>
      <c r="B1841" s="103">
        <v>19632.55078125</v>
      </c>
    </row>
    <row r="1842" spans="1:2" x14ac:dyDescent="0.3">
      <c r="A1842" s="99">
        <v>45148</v>
      </c>
      <c r="B1842" s="103">
        <v>19543.099609375</v>
      </c>
    </row>
    <row r="1843" spans="1:2" x14ac:dyDescent="0.3">
      <c r="A1843" s="99">
        <v>45149</v>
      </c>
      <c r="B1843" s="103">
        <v>19428.30078125</v>
      </c>
    </row>
    <row r="1844" spans="1:2" x14ac:dyDescent="0.3">
      <c r="A1844" s="99">
        <v>45152</v>
      </c>
      <c r="B1844" s="103">
        <v>19434.55078125</v>
      </c>
    </row>
    <row r="1845" spans="1:2" x14ac:dyDescent="0.3">
      <c r="A1845" s="99">
        <v>45154</v>
      </c>
      <c r="B1845" s="103">
        <v>19465</v>
      </c>
    </row>
    <row r="1846" spans="1:2" x14ac:dyDescent="0.3">
      <c r="A1846" s="99">
        <v>45155</v>
      </c>
      <c r="B1846" s="103">
        <v>19365.25</v>
      </c>
    </row>
    <row r="1847" spans="1:2" x14ac:dyDescent="0.3">
      <c r="A1847" s="99">
        <v>45156</v>
      </c>
      <c r="B1847" s="103">
        <v>19310.150390625</v>
      </c>
    </row>
    <row r="1848" spans="1:2" x14ac:dyDescent="0.3">
      <c r="A1848" s="99">
        <v>45159</v>
      </c>
      <c r="B1848" s="103">
        <v>19393.599609375</v>
      </c>
    </row>
    <row r="1849" spans="1:2" x14ac:dyDescent="0.3">
      <c r="A1849" s="99">
        <v>45160</v>
      </c>
      <c r="B1849" s="103">
        <v>19396.44921875</v>
      </c>
    </row>
    <row r="1850" spans="1:2" x14ac:dyDescent="0.3">
      <c r="A1850" s="99">
        <v>45161</v>
      </c>
      <c r="B1850" s="103">
        <v>19444</v>
      </c>
    </row>
    <row r="1851" spans="1:2" x14ac:dyDescent="0.3">
      <c r="A1851" s="99">
        <v>45162</v>
      </c>
      <c r="B1851" s="103">
        <v>19386.69921875</v>
      </c>
    </row>
    <row r="1852" spans="1:2" x14ac:dyDescent="0.3">
      <c r="A1852" s="99">
        <v>45163</v>
      </c>
      <c r="B1852" s="103">
        <v>19265.80078125</v>
      </c>
    </row>
    <row r="1853" spans="1:2" x14ac:dyDescent="0.3">
      <c r="A1853" s="99">
        <v>45166</v>
      </c>
      <c r="B1853" s="103">
        <v>19306.05078125</v>
      </c>
    </row>
    <row r="1854" spans="1:2" x14ac:dyDescent="0.3">
      <c r="A1854" s="99">
        <v>45167</v>
      </c>
      <c r="B1854" s="103">
        <v>19342.650390625</v>
      </c>
    </row>
    <row r="1855" spans="1:2" x14ac:dyDescent="0.3">
      <c r="A1855" s="99">
        <v>45168</v>
      </c>
      <c r="B1855" s="103">
        <v>19347.44921875</v>
      </c>
    </row>
    <row r="1856" spans="1:2" x14ac:dyDescent="0.3">
      <c r="A1856" s="99">
        <v>45169</v>
      </c>
      <c r="B1856" s="103">
        <v>19253.80078125</v>
      </c>
    </row>
    <row r="1857" spans="1:2" x14ac:dyDescent="0.3">
      <c r="A1857" s="99">
        <v>45170</v>
      </c>
      <c r="B1857" s="103">
        <v>19435.30078125</v>
      </c>
    </row>
    <row r="1858" spans="1:2" x14ac:dyDescent="0.3">
      <c r="A1858" s="99">
        <v>45173</v>
      </c>
      <c r="B1858" s="103">
        <v>19528.80078125</v>
      </c>
    </row>
    <row r="1859" spans="1:2" x14ac:dyDescent="0.3">
      <c r="A1859" s="99">
        <v>45174</v>
      </c>
      <c r="B1859" s="103">
        <v>19574.900390625</v>
      </c>
    </row>
    <row r="1860" spans="1:2" x14ac:dyDescent="0.3">
      <c r="A1860" s="99">
        <v>45175</v>
      </c>
      <c r="B1860" s="103">
        <v>19611.05078125</v>
      </c>
    </row>
    <row r="1861" spans="1:2" x14ac:dyDescent="0.3">
      <c r="A1861" s="99">
        <v>45176</v>
      </c>
      <c r="B1861" s="103">
        <v>19727.05078125</v>
      </c>
    </row>
    <row r="1862" spans="1:2" x14ac:dyDescent="0.3">
      <c r="A1862" s="99">
        <v>45177</v>
      </c>
      <c r="B1862" s="103">
        <v>19819.94921875</v>
      </c>
    </row>
    <row r="1863" spans="1:2" x14ac:dyDescent="0.3">
      <c r="A1863" s="99">
        <v>45180</v>
      </c>
      <c r="B1863" s="103">
        <v>19996.349609375</v>
      </c>
    </row>
    <row r="1864" spans="1:2" x14ac:dyDescent="0.3">
      <c r="A1864" s="99">
        <v>45181</v>
      </c>
      <c r="B1864" s="103">
        <v>19993.19921875</v>
      </c>
    </row>
    <row r="1865" spans="1:2" x14ac:dyDescent="0.3">
      <c r="A1865" s="99">
        <v>45182</v>
      </c>
      <c r="B1865" s="103">
        <v>20070</v>
      </c>
    </row>
    <row r="1866" spans="1:2" x14ac:dyDescent="0.3">
      <c r="A1866" s="99">
        <v>45183</v>
      </c>
      <c r="B1866" s="103">
        <v>20103.099609375</v>
      </c>
    </row>
    <row r="1867" spans="1:2" x14ac:dyDescent="0.3">
      <c r="A1867" s="99">
        <v>45184</v>
      </c>
      <c r="B1867" s="103">
        <v>20192.349609375</v>
      </c>
    </row>
    <row r="1868" spans="1:2" x14ac:dyDescent="0.3">
      <c r="A1868" s="99">
        <v>45187</v>
      </c>
      <c r="B1868" s="103">
        <v>20133.30078125</v>
      </c>
    </row>
    <row r="1869" spans="1:2" x14ac:dyDescent="0.3">
      <c r="A1869" s="99">
        <v>45189</v>
      </c>
      <c r="B1869" s="103">
        <v>19901.400390625</v>
      </c>
    </row>
    <row r="1870" spans="1:2" x14ac:dyDescent="0.3">
      <c r="A1870" s="99">
        <v>45190</v>
      </c>
      <c r="B1870" s="103">
        <v>19742.349609375</v>
      </c>
    </row>
    <row r="1871" spans="1:2" x14ac:dyDescent="0.3">
      <c r="A1871" s="99">
        <v>45191</v>
      </c>
      <c r="B1871" s="103">
        <v>19674.25</v>
      </c>
    </row>
    <row r="1872" spans="1:2" x14ac:dyDescent="0.3">
      <c r="A1872" s="99">
        <v>45194</v>
      </c>
      <c r="B1872" s="103">
        <v>19674.55078125</v>
      </c>
    </row>
    <row r="1873" spans="1:2" x14ac:dyDescent="0.3">
      <c r="A1873" s="99">
        <v>45195</v>
      </c>
      <c r="B1873" s="103">
        <v>19664.69921875</v>
      </c>
    </row>
    <row r="1874" spans="1:2" x14ac:dyDescent="0.3">
      <c r="A1874" s="99">
        <v>45196</v>
      </c>
      <c r="B1874" s="103">
        <v>19716.44921875</v>
      </c>
    </row>
    <row r="1875" spans="1:2" x14ac:dyDescent="0.3">
      <c r="A1875" s="99">
        <v>45197</v>
      </c>
      <c r="B1875" s="103">
        <v>19523.55078125</v>
      </c>
    </row>
    <row r="1876" spans="1:2" x14ac:dyDescent="0.3">
      <c r="A1876" s="99">
        <v>45198</v>
      </c>
      <c r="B1876" s="103">
        <v>19638.30078125</v>
      </c>
    </row>
    <row r="1877" spans="1:2" x14ac:dyDescent="0.3">
      <c r="A1877" s="99">
        <v>45202</v>
      </c>
      <c r="B1877" s="103">
        <v>19528.75</v>
      </c>
    </row>
    <row r="1878" spans="1:2" x14ac:dyDescent="0.3">
      <c r="A1878" s="99">
        <v>45203</v>
      </c>
      <c r="B1878" s="103">
        <v>19436.099609375</v>
      </c>
    </row>
    <row r="1879" spans="1:2" x14ac:dyDescent="0.3">
      <c r="A1879" s="99">
        <v>45204</v>
      </c>
      <c r="B1879" s="103">
        <v>19545.75</v>
      </c>
    </row>
    <row r="1880" spans="1:2" x14ac:dyDescent="0.3">
      <c r="A1880" s="99">
        <v>45205</v>
      </c>
      <c r="B1880" s="103">
        <v>19653.5</v>
      </c>
    </row>
    <row r="1881" spans="1:2" x14ac:dyDescent="0.3">
      <c r="A1881" s="99">
        <v>45208</v>
      </c>
      <c r="B1881" s="103">
        <v>19512.349609375</v>
      </c>
    </row>
    <row r="1882" spans="1:2" x14ac:dyDescent="0.3">
      <c r="A1882" s="99">
        <v>45209</v>
      </c>
      <c r="B1882" s="103">
        <v>19689.849609375</v>
      </c>
    </row>
    <row r="1883" spans="1:2" x14ac:dyDescent="0.3">
      <c r="A1883" s="99">
        <v>45210</v>
      </c>
      <c r="B1883" s="103">
        <v>19811.349609375</v>
      </c>
    </row>
    <row r="1884" spans="1:2" x14ac:dyDescent="0.3">
      <c r="A1884" s="99">
        <v>45211</v>
      </c>
      <c r="B1884" s="103">
        <v>19794</v>
      </c>
    </row>
    <row r="1885" spans="1:2" x14ac:dyDescent="0.3">
      <c r="A1885" s="99">
        <v>45212</v>
      </c>
      <c r="B1885" s="103">
        <v>19751.05078125</v>
      </c>
    </row>
    <row r="1886" spans="1:2" x14ac:dyDescent="0.3">
      <c r="A1886" s="99">
        <v>45215</v>
      </c>
      <c r="B1886" s="103">
        <v>19731.75</v>
      </c>
    </row>
    <row r="1887" spans="1:2" x14ac:dyDescent="0.3">
      <c r="A1887" s="99">
        <v>45216</v>
      </c>
      <c r="B1887" s="103">
        <v>19811.5</v>
      </c>
    </row>
    <row r="1888" spans="1:2" x14ac:dyDescent="0.3">
      <c r="A1888" s="99">
        <v>45217</v>
      </c>
      <c r="B1888" s="103">
        <v>19671.099609375</v>
      </c>
    </row>
    <row r="1889" spans="1:2" x14ac:dyDescent="0.3">
      <c r="A1889" s="99">
        <v>45218</v>
      </c>
      <c r="B1889" s="103">
        <v>19624.69921875</v>
      </c>
    </row>
    <row r="1890" spans="1:2" x14ac:dyDescent="0.3">
      <c r="A1890" s="99">
        <v>45219</v>
      </c>
      <c r="B1890" s="103">
        <v>19542.650390625</v>
      </c>
    </row>
    <row r="1891" spans="1:2" x14ac:dyDescent="0.3">
      <c r="A1891" s="99">
        <v>45222</v>
      </c>
      <c r="B1891" s="103">
        <v>19281.75</v>
      </c>
    </row>
    <row r="1892" spans="1:2" x14ac:dyDescent="0.3">
      <c r="A1892" s="99">
        <v>45224</v>
      </c>
      <c r="B1892" s="103">
        <v>19122.150390625</v>
      </c>
    </row>
    <row r="1893" spans="1:2" x14ac:dyDescent="0.3">
      <c r="A1893" s="99">
        <v>45225</v>
      </c>
      <c r="B1893" s="103">
        <v>18857.25</v>
      </c>
    </row>
    <row r="1894" spans="1:2" x14ac:dyDescent="0.3">
      <c r="A1894" s="99">
        <v>45226</v>
      </c>
      <c r="B1894" s="103">
        <v>19047.25</v>
      </c>
    </row>
    <row r="1895" spans="1:2" x14ac:dyDescent="0.3">
      <c r="A1895" s="99">
        <v>45229</v>
      </c>
      <c r="B1895" s="103">
        <v>19140.900390625</v>
      </c>
    </row>
    <row r="1896" spans="1:2" x14ac:dyDescent="0.3">
      <c r="A1896" s="99">
        <v>45230</v>
      </c>
      <c r="B1896" s="103">
        <v>19079.599609375</v>
      </c>
    </row>
    <row r="1897" spans="1:2" x14ac:dyDescent="0.3">
      <c r="A1897" s="99">
        <v>45231</v>
      </c>
      <c r="B1897" s="103">
        <v>18989.150390625</v>
      </c>
    </row>
    <row r="1898" spans="1:2" x14ac:dyDescent="0.3">
      <c r="A1898" s="99">
        <v>45232</v>
      </c>
      <c r="B1898" s="103">
        <v>19133.25</v>
      </c>
    </row>
    <row r="1899" spans="1:2" x14ac:dyDescent="0.3">
      <c r="A1899" s="99">
        <v>45233</v>
      </c>
      <c r="B1899" s="103">
        <v>19230.599609375</v>
      </c>
    </row>
    <row r="1900" spans="1:2" x14ac:dyDescent="0.3">
      <c r="A1900" s="99">
        <v>45236</v>
      </c>
      <c r="B1900" s="103">
        <v>19411.75</v>
      </c>
    </row>
    <row r="1901" spans="1:2" x14ac:dyDescent="0.3">
      <c r="A1901" s="99">
        <v>45237</v>
      </c>
      <c r="B1901" s="103">
        <v>19406.69921875</v>
      </c>
    </row>
    <row r="1902" spans="1:2" x14ac:dyDescent="0.3">
      <c r="A1902" s="99">
        <v>45238</v>
      </c>
      <c r="B1902" s="103">
        <v>19443.5</v>
      </c>
    </row>
    <row r="1903" spans="1:2" x14ac:dyDescent="0.3">
      <c r="A1903" s="99">
        <v>45239</v>
      </c>
      <c r="B1903" s="103">
        <v>19395.30078125</v>
      </c>
    </row>
    <row r="1904" spans="1:2" x14ac:dyDescent="0.3">
      <c r="A1904" s="99">
        <v>45240</v>
      </c>
      <c r="B1904" s="103">
        <v>19425.349609375</v>
      </c>
    </row>
    <row r="1905" spans="1:2" x14ac:dyDescent="0.3">
      <c r="A1905" s="99">
        <v>45243</v>
      </c>
      <c r="B1905" s="103">
        <v>19443.55078125</v>
      </c>
    </row>
    <row r="1906" spans="1:2" x14ac:dyDescent="0.3">
      <c r="A1906" s="99">
        <v>45245</v>
      </c>
      <c r="B1906" s="103">
        <v>19675.44921875</v>
      </c>
    </row>
    <row r="1907" spans="1:2" x14ac:dyDescent="0.3">
      <c r="A1907" s="99">
        <v>45246</v>
      </c>
      <c r="B1907" s="103">
        <v>19765.19921875</v>
      </c>
    </row>
    <row r="1908" spans="1:2" x14ac:dyDescent="0.3">
      <c r="A1908" s="99">
        <v>45247</v>
      </c>
      <c r="B1908" s="103">
        <v>19731.80078125</v>
      </c>
    </row>
    <row r="1909" spans="1:2" x14ac:dyDescent="0.3">
      <c r="A1909" s="99">
        <v>45250</v>
      </c>
      <c r="B1909" s="103">
        <v>19694</v>
      </c>
    </row>
    <row r="1910" spans="1:2" x14ac:dyDescent="0.3">
      <c r="A1910" s="99">
        <v>45251</v>
      </c>
      <c r="B1910" s="103">
        <v>19783.400390625</v>
      </c>
    </row>
    <row r="1911" spans="1:2" x14ac:dyDescent="0.3">
      <c r="A1911" s="99">
        <v>45252</v>
      </c>
      <c r="B1911" s="103">
        <v>19811.849609375</v>
      </c>
    </row>
    <row r="1912" spans="1:2" x14ac:dyDescent="0.3">
      <c r="A1912" s="99">
        <v>45253</v>
      </c>
      <c r="B1912" s="103">
        <v>19802</v>
      </c>
    </row>
    <row r="1913" spans="1:2" x14ac:dyDescent="0.3">
      <c r="A1913" s="99">
        <v>45254</v>
      </c>
      <c r="B1913" s="103">
        <v>19794.69921875</v>
      </c>
    </row>
    <row r="1914" spans="1:2" x14ac:dyDescent="0.3">
      <c r="A1914" s="99">
        <v>45258</v>
      </c>
      <c r="B1914" s="103">
        <v>19889.69921875</v>
      </c>
    </row>
    <row r="1915" spans="1:2" x14ac:dyDescent="0.3">
      <c r="A1915" s="99">
        <v>45259</v>
      </c>
      <c r="B1915" s="103">
        <v>20096.599609375</v>
      </c>
    </row>
    <row r="1916" spans="1:2" x14ac:dyDescent="0.3">
      <c r="A1916" s="99">
        <v>45260</v>
      </c>
      <c r="B1916" s="103">
        <v>20133.150390625</v>
      </c>
    </row>
    <row r="1917" spans="1:2" x14ac:dyDescent="0.3">
      <c r="A1917" s="99">
        <v>45261</v>
      </c>
      <c r="B1917" s="103">
        <v>20267.900390625</v>
      </c>
    </row>
    <row r="1918" spans="1:2" x14ac:dyDescent="0.3">
      <c r="A1918" s="99">
        <v>45264</v>
      </c>
      <c r="B1918" s="103">
        <v>20686.80078125</v>
      </c>
    </row>
    <row r="1919" spans="1:2" x14ac:dyDescent="0.3">
      <c r="A1919" s="99">
        <v>45265</v>
      </c>
      <c r="B1919" s="103">
        <v>20855.099609375</v>
      </c>
    </row>
    <row r="1920" spans="1:2" x14ac:dyDescent="0.3">
      <c r="A1920" s="99">
        <v>45266</v>
      </c>
      <c r="B1920" s="103">
        <v>20937.69921875</v>
      </c>
    </row>
    <row r="1921" spans="1:2" x14ac:dyDescent="0.3">
      <c r="A1921" s="99">
        <v>45267</v>
      </c>
      <c r="B1921" s="103">
        <v>20901.150390625</v>
      </c>
    </row>
    <row r="1922" spans="1:2" x14ac:dyDescent="0.3">
      <c r="A1922" s="99">
        <v>45268</v>
      </c>
      <c r="B1922" s="103">
        <v>20969.400390625</v>
      </c>
    </row>
    <row r="1923" spans="1:2" x14ac:dyDescent="0.3">
      <c r="A1923" s="99">
        <v>45271</v>
      </c>
      <c r="B1923" s="103">
        <v>20997.099609375</v>
      </c>
    </row>
    <row r="1924" spans="1:2" x14ac:dyDescent="0.3">
      <c r="A1924" s="99">
        <v>45272</v>
      </c>
      <c r="B1924" s="103">
        <v>20906.400390625</v>
      </c>
    </row>
    <row r="1925" spans="1:2" x14ac:dyDescent="0.3">
      <c r="A1925" s="99">
        <v>45273</v>
      </c>
      <c r="B1925" s="103">
        <v>20926.349609375</v>
      </c>
    </row>
    <row r="1926" spans="1:2" x14ac:dyDescent="0.3">
      <c r="A1926" s="99">
        <v>45274</v>
      </c>
      <c r="B1926" s="103">
        <v>21182.69921875</v>
      </c>
    </row>
    <row r="1927" spans="1:2" x14ac:dyDescent="0.3">
      <c r="A1927" s="99">
        <v>45275</v>
      </c>
      <c r="B1927" s="103">
        <v>21456.650390625</v>
      </c>
    </row>
    <row r="1928" spans="1:2" x14ac:dyDescent="0.3">
      <c r="A1928" s="99">
        <v>45278</v>
      </c>
      <c r="B1928" s="103">
        <v>21418.650390625</v>
      </c>
    </row>
    <row r="1929" spans="1:2" x14ac:dyDescent="0.3">
      <c r="A1929" s="99">
        <v>45279</v>
      </c>
      <c r="B1929" s="103">
        <v>21453.099609375</v>
      </c>
    </row>
    <row r="1930" spans="1:2" x14ac:dyDescent="0.3">
      <c r="A1930" s="99">
        <v>45280</v>
      </c>
      <c r="B1930" s="103">
        <v>21150.150390625</v>
      </c>
    </row>
    <row r="1931" spans="1:2" x14ac:dyDescent="0.3">
      <c r="A1931" s="99">
        <v>45281</v>
      </c>
      <c r="B1931" s="103">
        <v>21255.05078125</v>
      </c>
    </row>
    <row r="1932" spans="1:2" x14ac:dyDescent="0.3">
      <c r="A1932" s="99">
        <v>45282</v>
      </c>
      <c r="B1932" s="103">
        <v>21349.400390625</v>
      </c>
    </row>
    <row r="1933" spans="1:2" x14ac:dyDescent="0.3">
      <c r="A1933" s="99">
        <v>45286</v>
      </c>
      <c r="B1933" s="103">
        <v>21441.349609375</v>
      </c>
    </row>
    <row r="1934" spans="1:2" x14ac:dyDescent="0.3">
      <c r="A1934" s="99">
        <v>45287</v>
      </c>
      <c r="B1934" s="103">
        <v>21654.75</v>
      </c>
    </row>
    <row r="1935" spans="1:2" x14ac:dyDescent="0.3">
      <c r="A1935" s="99">
        <v>45288</v>
      </c>
      <c r="B1935" s="103">
        <v>21778.69921875</v>
      </c>
    </row>
    <row r="1936" spans="1:2" x14ac:dyDescent="0.3">
      <c r="A1936" s="99">
        <v>45289</v>
      </c>
      <c r="B1936" s="103">
        <v>21731.400390625</v>
      </c>
    </row>
    <row r="1937" spans="1:2" x14ac:dyDescent="0.3">
      <c r="A1937" s="99">
        <v>45292</v>
      </c>
      <c r="B1937" s="103">
        <v>21741.900390625</v>
      </c>
    </row>
    <row r="1938" spans="1:2" x14ac:dyDescent="0.3">
      <c r="A1938" s="99">
        <v>45293</v>
      </c>
      <c r="B1938" s="103">
        <v>21665.80078125</v>
      </c>
    </row>
    <row r="1939" spans="1:2" x14ac:dyDescent="0.3">
      <c r="A1939" s="99">
        <v>45294</v>
      </c>
      <c r="B1939" s="103">
        <v>21517.349609375</v>
      </c>
    </row>
    <row r="1940" spans="1:2" x14ac:dyDescent="0.3">
      <c r="A1940" s="99">
        <v>45295</v>
      </c>
      <c r="B1940" s="103">
        <v>21658.599609375</v>
      </c>
    </row>
    <row r="1941" spans="1:2" x14ac:dyDescent="0.3">
      <c r="A1941" s="99">
        <v>45296</v>
      </c>
      <c r="B1941" s="103">
        <v>21710.80078125</v>
      </c>
    </row>
    <row r="1942" spans="1:2" x14ac:dyDescent="0.3">
      <c r="A1942" s="99">
        <v>45299</v>
      </c>
      <c r="B1942" s="103">
        <v>21513</v>
      </c>
    </row>
    <row r="1943" spans="1:2" x14ac:dyDescent="0.3">
      <c r="A1943" s="99">
        <v>45300</v>
      </c>
      <c r="B1943" s="103">
        <v>21544.849609375</v>
      </c>
    </row>
    <row r="1944" spans="1:2" x14ac:dyDescent="0.3">
      <c r="A1944" s="99">
        <v>45301</v>
      </c>
      <c r="B1944" s="103">
        <v>21618.69921875</v>
      </c>
    </row>
    <row r="1945" spans="1:2" x14ac:dyDescent="0.3">
      <c r="A1945" s="99">
        <v>45302</v>
      </c>
      <c r="B1945" s="103">
        <v>21647.19921875</v>
      </c>
    </row>
    <row r="1946" spans="1:2" x14ac:dyDescent="0.3">
      <c r="A1946" s="99">
        <v>45303</v>
      </c>
      <c r="B1946" s="103">
        <v>21894.55078125</v>
      </c>
    </row>
    <row r="1947" spans="1:2" x14ac:dyDescent="0.3">
      <c r="A1947" s="99">
        <v>45306</v>
      </c>
      <c r="B1947" s="103">
        <v>22097.44921875</v>
      </c>
    </row>
    <row r="1948" spans="1:2" x14ac:dyDescent="0.3">
      <c r="A1948" s="99">
        <v>45307</v>
      </c>
      <c r="B1948" s="103">
        <v>22032.30078125</v>
      </c>
    </row>
    <row r="1949" spans="1:2" x14ac:dyDescent="0.3">
      <c r="A1949" s="99">
        <v>45308</v>
      </c>
      <c r="B1949" s="103">
        <v>21571.94921875</v>
      </c>
    </row>
    <row r="1950" spans="1:2" x14ac:dyDescent="0.3">
      <c r="A1950" s="99">
        <v>45309</v>
      </c>
      <c r="B1950" s="103">
        <v>21462.25</v>
      </c>
    </row>
    <row r="1951" spans="1:2" x14ac:dyDescent="0.3">
      <c r="A1951" s="99">
        <v>45310</v>
      </c>
      <c r="B1951" s="103">
        <v>21622.400390625</v>
      </c>
    </row>
    <row r="1952" spans="1:2" x14ac:dyDescent="0.3">
      <c r="A1952" s="99">
        <v>45314</v>
      </c>
      <c r="B1952" s="103">
        <v>21238.80078125</v>
      </c>
    </row>
    <row r="1953" spans="1:2" x14ac:dyDescent="0.3">
      <c r="A1953" s="99">
        <v>45315</v>
      </c>
      <c r="B1953" s="103">
        <v>21453.94921875</v>
      </c>
    </row>
    <row r="1954" spans="1:2" x14ac:dyDescent="0.3">
      <c r="A1954" s="99">
        <v>45316</v>
      </c>
      <c r="B1954" s="103">
        <v>21352.599609375</v>
      </c>
    </row>
    <row r="1955" spans="1:2" x14ac:dyDescent="0.3">
      <c r="A1955" s="99">
        <v>45320</v>
      </c>
      <c r="B1955" s="103">
        <v>21737.599609375</v>
      </c>
    </row>
    <row r="1956" spans="1:2" x14ac:dyDescent="0.3">
      <c r="A1956" s="99">
        <v>45321</v>
      </c>
      <c r="B1956" s="103">
        <v>21522.099609375</v>
      </c>
    </row>
    <row r="1957" spans="1:2" x14ac:dyDescent="0.3">
      <c r="A1957" s="99">
        <v>45322</v>
      </c>
      <c r="B1957" s="103">
        <v>21725.69921875</v>
      </c>
    </row>
    <row r="1958" spans="1:2" x14ac:dyDescent="0.3">
      <c r="A1958" s="99">
        <v>45323</v>
      </c>
      <c r="B1958" s="103">
        <v>21697.44921875</v>
      </c>
    </row>
    <row r="1959" spans="1:2" x14ac:dyDescent="0.3">
      <c r="A1959" s="99">
        <v>45324</v>
      </c>
      <c r="B1959" s="103">
        <v>21853.80078125</v>
      </c>
    </row>
    <row r="1960" spans="1:2" x14ac:dyDescent="0.3">
      <c r="A1960" s="99">
        <v>45327</v>
      </c>
      <c r="B1960" s="103">
        <v>21771.69921875</v>
      </c>
    </row>
    <row r="1961" spans="1:2" x14ac:dyDescent="0.3">
      <c r="A1961" s="99">
        <v>45328</v>
      </c>
      <c r="B1961" s="103">
        <v>21929.400390625</v>
      </c>
    </row>
    <row r="1962" spans="1:2" x14ac:dyDescent="0.3">
      <c r="A1962" s="99">
        <v>45329</v>
      </c>
      <c r="B1962" s="103">
        <v>21930.5</v>
      </c>
    </row>
    <row r="1963" spans="1:2" x14ac:dyDescent="0.3">
      <c r="A1963" s="99">
        <v>45330</v>
      </c>
      <c r="B1963" s="103">
        <v>21717.94921875</v>
      </c>
    </row>
    <row r="1964" spans="1:2" x14ac:dyDescent="0.3">
      <c r="A1964" s="99">
        <v>45331</v>
      </c>
      <c r="B1964" s="103">
        <v>21782.5</v>
      </c>
    </row>
    <row r="1965" spans="1:2" x14ac:dyDescent="0.3">
      <c r="A1965" s="99">
        <v>45334</v>
      </c>
      <c r="B1965" s="103">
        <v>21616.05078125</v>
      </c>
    </row>
    <row r="1966" spans="1:2" x14ac:dyDescent="0.3">
      <c r="A1966" s="99">
        <v>45335</v>
      </c>
      <c r="B1966" s="103">
        <v>21743.25</v>
      </c>
    </row>
    <row r="1967" spans="1:2" x14ac:dyDescent="0.3">
      <c r="A1967" s="99">
        <v>45336</v>
      </c>
      <c r="B1967" s="103">
        <v>21840.05078125</v>
      </c>
    </row>
    <row r="1968" spans="1:2" x14ac:dyDescent="0.3">
      <c r="A1968" s="99">
        <v>45337</v>
      </c>
      <c r="B1968" s="103">
        <v>21910.75</v>
      </c>
    </row>
    <row r="1969" spans="1:2" x14ac:dyDescent="0.3">
      <c r="A1969" s="99">
        <v>45338</v>
      </c>
      <c r="B1969" s="103">
        <v>22040.69921875</v>
      </c>
    </row>
    <row r="1970" spans="1:2" x14ac:dyDescent="0.3">
      <c r="A1970" s="99">
        <v>45341</v>
      </c>
      <c r="B1970" s="103">
        <v>22122.25</v>
      </c>
    </row>
    <row r="1971" spans="1:2" x14ac:dyDescent="0.3">
      <c r="A1971" s="99">
        <v>45342</v>
      </c>
      <c r="B1971" s="103">
        <v>22196.94921875</v>
      </c>
    </row>
    <row r="1972" spans="1:2" x14ac:dyDescent="0.3">
      <c r="A1972" s="99">
        <v>45343</v>
      </c>
      <c r="B1972" s="103">
        <v>22055.05078125</v>
      </c>
    </row>
    <row r="1973" spans="1:2" x14ac:dyDescent="0.3">
      <c r="A1973" s="99">
        <v>45344</v>
      </c>
      <c r="B1973" s="103">
        <v>22217.44921875</v>
      </c>
    </row>
    <row r="1974" spans="1:2" x14ac:dyDescent="0.3">
      <c r="A1974" s="99">
        <v>45345</v>
      </c>
      <c r="B1974" s="103">
        <v>22212.69921875</v>
      </c>
    </row>
    <row r="1975" spans="1:2" x14ac:dyDescent="0.3">
      <c r="A1975" s="99">
        <v>45348</v>
      </c>
      <c r="B1975" s="103">
        <v>22122.05078125</v>
      </c>
    </row>
    <row r="1976" spans="1:2" x14ac:dyDescent="0.3">
      <c r="A1976" s="99">
        <v>45349</v>
      </c>
      <c r="B1976" s="103">
        <v>22198.349609375</v>
      </c>
    </row>
    <row r="1977" spans="1:2" x14ac:dyDescent="0.3">
      <c r="A1977" s="99">
        <v>45350</v>
      </c>
      <c r="B1977" s="103">
        <v>21951.150390625</v>
      </c>
    </row>
    <row r="1978" spans="1:2" x14ac:dyDescent="0.3">
      <c r="A1978" s="99">
        <v>45351</v>
      </c>
      <c r="B1978" s="103">
        <v>21982.80078125</v>
      </c>
    </row>
    <row r="1979" spans="1:2" x14ac:dyDescent="0.3">
      <c r="A1979" s="99">
        <v>45352</v>
      </c>
      <c r="B1979" s="103">
        <v>22338.75</v>
      </c>
    </row>
    <row r="1980" spans="1:2" x14ac:dyDescent="0.3">
      <c r="A1980" s="99">
        <v>45355</v>
      </c>
      <c r="B1980" s="103">
        <v>22405.599609375</v>
      </c>
    </row>
    <row r="1981" spans="1:2" x14ac:dyDescent="0.3">
      <c r="A1981" s="99">
        <v>45356</v>
      </c>
      <c r="B1981" s="103">
        <v>22356.30078125</v>
      </c>
    </row>
    <row r="1982" spans="1:2" x14ac:dyDescent="0.3">
      <c r="A1982" s="99">
        <v>45357</v>
      </c>
      <c r="B1982" s="103">
        <v>22474.05078125</v>
      </c>
    </row>
    <row r="1983" spans="1:2" x14ac:dyDescent="0.3">
      <c r="A1983" s="99">
        <v>45358</v>
      </c>
      <c r="B1983" s="103">
        <v>22493.55078125</v>
      </c>
    </row>
    <row r="1984" spans="1:2" x14ac:dyDescent="0.3">
      <c r="A1984" s="99">
        <v>45362</v>
      </c>
      <c r="B1984" s="103">
        <v>22332.650390625</v>
      </c>
    </row>
    <row r="1985" spans="1:2" x14ac:dyDescent="0.3">
      <c r="A1985" s="99">
        <v>45363</v>
      </c>
      <c r="B1985" s="103">
        <v>22335.69921875</v>
      </c>
    </row>
    <row r="1986" spans="1:2" x14ac:dyDescent="0.3">
      <c r="A1986" s="99">
        <v>45364</v>
      </c>
      <c r="B1986" s="103">
        <v>21997.69921875</v>
      </c>
    </row>
    <row r="1987" spans="1:2" x14ac:dyDescent="0.3">
      <c r="A1987" s="99">
        <v>45365</v>
      </c>
      <c r="B1987" s="103">
        <v>22146.650390625</v>
      </c>
    </row>
    <row r="1988" spans="1:2" x14ac:dyDescent="0.3">
      <c r="A1988" s="99">
        <v>45366</v>
      </c>
      <c r="B1988" s="103">
        <v>22023.349609375</v>
      </c>
    </row>
    <row r="1989" spans="1:2" x14ac:dyDescent="0.3">
      <c r="A1989" s="99">
        <v>45369</v>
      </c>
      <c r="B1989" s="103">
        <v>22055.69921875</v>
      </c>
    </row>
    <row r="1990" spans="1:2" x14ac:dyDescent="0.3">
      <c r="A1990" s="99">
        <v>45370</v>
      </c>
      <c r="B1990" s="103">
        <v>21817.44921875</v>
      </c>
    </row>
    <row r="1991" spans="1:2" x14ac:dyDescent="0.3">
      <c r="A1991" s="99">
        <v>45371</v>
      </c>
      <c r="B1991" s="103">
        <v>21839.099609375</v>
      </c>
    </row>
    <row r="1992" spans="1:2" x14ac:dyDescent="0.3">
      <c r="A1992" s="99">
        <v>45372</v>
      </c>
      <c r="B1992" s="103">
        <v>22011.94921875</v>
      </c>
    </row>
    <row r="1993" spans="1:2" x14ac:dyDescent="0.3">
      <c r="A1993" s="99">
        <v>45373</v>
      </c>
      <c r="B1993" s="103">
        <v>22096.75</v>
      </c>
    </row>
    <row r="1994" spans="1:2" x14ac:dyDescent="0.3">
      <c r="A1994" s="99">
        <v>45377</v>
      </c>
      <c r="B1994" s="103">
        <v>22004.69921875</v>
      </c>
    </row>
    <row r="1995" spans="1:2" x14ac:dyDescent="0.3">
      <c r="A1995" s="99">
        <v>45378</v>
      </c>
      <c r="B1995" s="103">
        <v>22123.650390625</v>
      </c>
    </row>
    <row r="1996" spans="1:2" x14ac:dyDescent="0.3">
      <c r="A1996" s="99">
        <v>45379</v>
      </c>
      <c r="B1996" s="103">
        <v>22326.900390625</v>
      </c>
    </row>
    <row r="1997" spans="1:2" x14ac:dyDescent="0.3">
      <c r="A1997" s="99">
        <v>45383</v>
      </c>
      <c r="B1997" s="103">
        <v>22462</v>
      </c>
    </row>
    <row r="1998" spans="1:2" x14ac:dyDescent="0.3">
      <c r="A1998" s="99">
        <v>45384</v>
      </c>
      <c r="B1998" s="103">
        <v>22453.30078125</v>
      </c>
    </row>
    <row r="1999" spans="1:2" x14ac:dyDescent="0.3">
      <c r="A1999" s="99">
        <v>45385</v>
      </c>
      <c r="B1999" s="103">
        <v>22434.650390625</v>
      </c>
    </row>
    <row r="2000" spans="1:2" x14ac:dyDescent="0.3">
      <c r="A2000" s="99">
        <v>45386</v>
      </c>
      <c r="B2000" s="103">
        <v>22514.650390625</v>
      </c>
    </row>
    <row r="2001" spans="1:2" x14ac:dyDescent="0.3">
      <c r="A2001" s="99">
        <v>45387</v>
      </c>
      <c r="B2001" s="103">
        <v>22513.69921875</v>
      </c>
    </row>
    <row r="2002" spans="1:2" x14ac:dyDescent="0.3">
      <c r="A2002" s="99">
        <v>45390</v>
      </c>
      <c r="B2002" s="103">
        <v>22666.30078125</v>
      </c>
    </row>
    <row r="2003" spans="1:2" x14ac:dyDescent="0.3">
      <c r="A2003" s="99">
        <v>45391</v>
      </c>
      <c r="B2003" s="103">
        <v>22642.75</v>
      </c>
    </row>
    <row r="2004" spans="1:2" x14ac:dyDescent="0.3">
      <c r="A2004" s="99">
        <v>45392</v>
      </c>
      <c r="B2004" s="103">
        <v>22753.80078125</v>
      </c>
    </row>
    <row r="2005" spans="1:2" x14ac:dyDescent="0.3">
      <c r="A2005" s="99">
        <v>45394</v>
      </c>
      <c r="B2005" s="103">
        <v>22519.400390625</v>
      </c>
    </row>
    <row r="2006" spans="1:2" x14ac:dyDescent="0.3">
      <c r="A2006" s="99">
        <v>45397</v>
      </c>
      <c r="B2006" s="103">
        <v>22272.5</v>
      </c>
    </row>
    <row r="2007" spans="1:2" x14ac:dyDescent="0.3">
      <c r="A2007" s="99">
        <v>45398</v>
      </c>
      <c r="B2007" s="103">
        <v>22147.900390625</v>
      </c>
    </row>
    <row r="2008" spans="1:2" x14ac:dyDescent="0.3">
      <c r="A2008" s="99">
        <v>45400</v>
      </c>
      <c r="B2008" s="103">
        <v>21995.849609375</v>
      </c>
    </row>
    <row r="2009" spans="1:2" x14ac:dyDescent="0.3">
      <c r="A2009" s="99">
        <v>45401</v>
      </c>
      <c r="B2009" s="103">
        <v>22147</v>
      </c>
    </row>
    <row r="2010" spans="1:2" x14ac:dyDescent="0.3">
      <c r="A2010" s="99">
        <v>45404</v>
      </c>
      <c r="B2010" s="103">
        <v>22336.400390625</v>
      </c>
    </row>
    <row r="2011" spans="1:2" x14ac:dyDescent="0.3">
      <c r="A2011" s="99">
        <v>45405</v>
      </c>
      <c r="B2011" s="103">
        <v>22368</v>
      </c>
    </row>
    <row r="2012" spans="1:2" x14ac:dyDescent="0.3">
      <c r="A2012" s="99">
        <v>45406</v>
      </c>
      <c r="B2012" s="103">
        <v>22402.400390625</v>
      </c>
    </row>
    <row r="2013" spans="1:2" x14ac:dyDescent="0.3">
      <c r="A2013" s="99">
        <v>45407</v>
      </c>
      <c r="B2013" s="103">
        <v>22570.349609375</v>
      </c>
    </row>
    <row r="2014" spans="1:2" x14ac:dyDescent="0.3">
      <c r="A2014" s="99">
        <v>45408</v>
      </c>
      <c r="B2014" s="103">
        <v>22419.94921875</v>
      </c>
    </row>
    <row r="2015" spans="1:2" x14ac:dyDescent="0.3">
      <c r="A2015" s="99">
        <v>45411</v>
      </c>
      <c r="B2015" s="103">
        <v>22643.400390625</v>
      </c>
    </row>
    <row r="2016" spans="1:2" x14ac:dyDescent="0.3">
      <c r="A2016" s="99">
        <v>45412</v>
      </c>
      <c r="B2016" s="103">
        <v>22604.849609375</v>
      </c>
    </row>
    <row r="2017" spans="1:2" x14ac:dyDescent="0.3">
      <c r="A2017" s="99">
        <v>45414</v>
      </c>
      <c r="B2017" s="103">
        <v>22648.19921875</v>
      </c>
    </row>
    <row r="2018" spans="1:2" x14ac:dyDescent="0.3">
      <c r="A2018" s="99">
        <v>45415</v>
      </c>
      <c r="B2018" s="103">
        <v>22475.849609375</v>
      </c>
    </row>
    <row r="2019" spans="1:2" x14ac:dyDescent="0.3">
      <c r="A2019" s="99">
        <v>45418</v>
      </c>
      <c r="B2019" s="103">
        <v>22442.69921875</v>
      </c>
    </row>
    <row r="2020" spans="1:2" x14ac:dyDescent="0.3">
      <c r="A2020" s="99">
        <v>45419</v>
      </c>
      <c r="B2020" s="103">
        <v>22302.5</v>
      </c>
    </row>
    <row r="2021" spans="1:2" x14ac:dyDescent="0.3">
      <c r="A2021" s="99">
        <v>45420</v>
      </c>
      <c r="B2021" s="103">
        <v>22302.5</v>
      </c>
    </row>
    <row r="2022" spans="1:2" x14ac:dyDescent="0.3">
      <c r="A2022" s="99">
        <v>45421</v>
      </c>
      <c r="B2022" s="103">
        <v>21957.5</v>
      </c>
    </row>
    <row r="2023" spans="1:2" x14ac:dyDescent="0.3">
      <c r="A2023" s="99">
        <v>45422</v>
      </c>
      <c r="B2023" s="103">
        <v>22055.19921875</v>
      </c>
    </row>
    <row r="2024" spans="1:2" x14ac:dyDescent="0.3">
      <c r="A2024" s="99">
        <v>45425</v>
      </c>
      <c r="B2024" s="103">
        <v>22104.05078125</v>
      </c>
    </row>
    <row r="2025" spans="1:2" x14ac:dyDescent="0.3">
      <c r="A2025" s="99">
        <v>45426</v>
      </c>
      <c r="B2025" s="103">
        <v>22217.849609375</v>
      </c>
    </row>
    <row r="2026" spans="1:2" x14ac:dyDescent="0.3">
      <c r="A2026" s="99">
        <v>45427</v>
      </c>
      <c r="B2026" s="103">
        <v>22200.55078125</v>
      </c>
    </row>
    <row r="2027" spans="1:2" x14ac:dyDescent="0.3">
      <c r="A2027" s="99">
        <v>45428</v>
      </c>
      <c r="B2027" s="103">
        <v>22403.849609375</v>
      </c>
    </row>
    <row r="2028" spans="1:2" x14ac:dyDescent="0.3">
      <c r="A2028" s="99">
        <v>45429</v>
      </c>
      <c r="B2028" s="103">
        <v>22466.099609375</v>
      </c>
    </row>
    <row r="2029" spans="1:2" x14ac:dyDescent="0.3">
      <c r="A2029" s="99">
        <v>45433</v>
      </c>
      <c r="B2029" s="103">
        <v>22529.05078125</v>
      </c>
    </row>
    <row r="2030" spans="1:2" x14ac:dyDescent="0.3">
      <c r="A2030" s="99">
        <v>45434</v>
      </c>
      <c r="B2030" s="103">
        <v>22597.80078125</v>
      </c>
    </row>
    <row r="2031" spans="1:2" x14ac:dyDescent="0.3">
      <c r="A2031" s="99">
        <v>45435</v>
      </c>
      <c r="B2031" s="103">
        <v>22967.650390625</v>
      </c>
    </row>
    <row r="2032" spans="1:2" x14ac:dyDescent="0.3">
      <c r="A2032" s="99">
        <v>45436</v>
      </c>
      <c r="B2032" s="103">
        <v>22957.099609375</v>
      </c>
    </row>
    <row r="2033" spans="1:2" x14ac:dyDescent="0.3">
      <c r="A2033" s="99">
        <v>45439</v>
      </c>
      <c r="B2033" s="103">
        <v>22932.44921875</v>
      </c>
    </row>
    <row r="2034" spans="1:2" x14ac:dyDescent="0.3">
      <c r="A2034" s="99">
        <v>45440</v>
      </c>
      <c r="B2034" s="103">
        <v>22888.150390625</v>
      </c>
    </row>
    <row r="2035" spans="1:2" x14ac:dyDescent="0.3">
      <c r="A2035" s="99">
        <v>45441</v>
      </c>
      <c r="B2035" s="103">
        <v>22704.69921875</v>
      </c>
    </row>
    <row r="2036" spans="1:2" x14ac:dyDescent="0.3">
      <c r="A2036" s="99">
        <v>45442</v>
      </c>
      <c r="B2036" s="103">
        <v>22488.650390625</v>
      </c>
    </row>
    <row r="2037" spans="1:2" x14ac:dyDescent="0.3">
      <c r="A2037" s="99">
        <v>45443</v>
      </c>
      <c r="B2037" s="103">
        <v>22530.69921875</v>
      </c>
    </row>
    <row r="2038" spans="1:2" x14ac:dyDescent="0.3">
      <c r="A2038" s="99">
        <v>45446</v>
      </c>
      <c r="B2038" s="103">
        <v>23263.900390625</v>
      </c>
    </row>
    <row r="2039" spans="1:2" x14ac:dyDescent="0.3">
      <c r="A2039" s="99">
        <v>45447</v>
      </c>
      <c r="B2039" s="103">
        <v>21884.5</v>
      </c>
    </row>
    <row r="2040" spans="1:2" x14ac:dyDescent="0.3">
      <c r="A2040" s="99">
        <v>45448</v>
      </c>
      <c r="B2040" s="103">
        <v>22620.349609375</v>
      </c>
    </row>
    <row r="2041" spans="1:2" x14ac:dyDescent="0.3">
      <c r="A2041" s="99">
        <v>45449</v>
      </c>
      <c r="B2041" s="103">
        <v>22821.400390625</v>
      </c>
    </row>
    <row r="2042" spans="1:2" x14ac:dyDescent="0.3">
      <c r="A2042" s="99">
        <v>45450</v>
      </c>
      <c r="B2042" s="103">
        <v>23290.150390625</v>
      </c>
    </row>
    <row r="2043" spans="1:2" x14ac:dyDescent="0.3">
      <c r="A2043" s="99">
        <v>45453</v>
      </c>
      <c r="B2043" s="103">
        <v>23259.19921875</v>
      </c>
    </row>
    <row r="2044" spans="1:2" x14ac:dyDescent="0.3">
      <c r="A2044" s="99">
        <v>45454</v>
      </c>
      <c r="B2044" s="103">
        <v>23264.849609375</v>
      </c>
    </row>
    <row r="2045" spans="1:2" x14ac:dyDescent="0.3">
      <c r="A2045" s="99">
        <v>45455</v>
      </c>
      <c r="B2045" s="103">
        <v>23322.94921875</v>
      </c>
    </row>
    <row r="2046" spans="1:2" x14ac:dyDescent="0.3">
      <c r="A2046" s="99">
        <v>45456</v>
      </c>
      <c r="B2046" s="103">
        <v>23398.900390625</v>
      </c>
    </row>
    <row r="2047" spans="1:2" x14ac:dyDescent="0.3">
      <c r="A2047" s="99">
        <v>45457</v>
      </c>
      <c r="B2047" s="103">
        <v>23465.599609375</v>
      </c>
    </row>
    <row r="2048" spans="1:2" x14ac:dyDescent="0.3">
      <c r="A2048" s="99">
        <v>45461</v>
      </c>
      <c r="B2048" s="103">
        <v>23557.900390625</v>
      </c>
    </row>
    <row r="2049" spans="1:2" x14ac:dyDescent="0.3">
      <c r="A2049" s="99">
        <v>45462</v>
      </c>
      <c r="B2049" s="103">
        <v>23516</v>
      </c>
    </row>
    <row r="2050" spans="1:2" x14ac:dyDescent="0.3">
      <c r="A2050" s="99">
        <v>45463</v>
      </c>
      <c r="B2050" s="103">
        <v>23567</v>
      </c>
    </row>
    <row r="2051" spans="1:2" x14ac:dyDescent="0.3">
      <c r="A2051" s="99">
        <v>45464</v>
      </c>
      <c r="B2051" s="103">
        <v>23501.099609375</v>
      </c>
    </row>
    <row r="2052" spans="1:2" x14ac:dyDescent="0.3">
      <c r="A2052" s="99">
        <v>45467</v>
      </c>
      <c r="B2052" s="103">
        <v>23537.849609375</v>
      </c>
    </row>
    <row r="2053" spans="1:2" x14ac:dyDescent="0.3">
      <c r="A2053" s="99">
        <v>45468</v>
      </c>
      <c r="B2053" s="103">
        <v>23721.30078125</v>
      </c>
    </row>
    <row r="2054" spans="1:2" x14ac:dyDescent="0.3">
      <c r="A2054" s="99">
        <v>45469</v>
      </c>
      <c r="B2054" s="103">
        <v>23868.80078125</v>
      </c>
    </row>
    <row r="2055" spans="1:2" x14ac:dyDescent="0.3">
      <c r="A2055" s="99">
        <v>45470</v>
      </c>
      <c r="B2055" s="103">
        <v>24044.5</v>
      </c>
    </row>
    <row r="2056" spans="1:2" x14ac:dyDescent="0.3">
      <c r="A2056" s="99">
        <v>45471</v>
      </c>
      <c r="B2056" s="103">
        <v>24010.599609375</v>
      </c>
    </row>
    <row r="2057" spans="1:2" x14ac:dyDescent="0.3">
      <c r="A2057" s="99">
        <v>45474</v>
      </c>
      <c r="B2057" s="103">
        <v>24141.94921875</v>
      </c>
    </row>
    <row r="2058" spans="1:2" x14ac:dyDescent="0.3">
      <c r="A2058" s="99">
        <v>45475</v>
      </c>
      <c r="B2058" s="103">
        <v>24123.849609375</v>
      </c>
    </row>
    <row r="2059" spans="1:2" x14ac:dyDescent="0.3">
      <c r="A2059" s="99">
        <v>45476</v>
      </c>
      <c r="B2059" s="103">
        <v>24286.5</v>
      </c>
    </row>
    <row r="2060" spans="1:2" x14ac:dyDescent="0.3">
      <c r="A2060" s="99">
        <v>45477</v>
      </c>
      <c r="B2060" s="103">
        <v>24302.150390625</v>
      </c>
    </row>
    <row r="2061" spans="1:2" x14ac:dyDescent="0.3">
      <c r="A2061" s="99">
        <v>45478</v>
      </c>
      <c r="B2061" s="103">
        <v>24323.849609375</v>
      </c>
    </row>
    <row r="2062" spans="1:2" x14ac:dyDescent="0.3">
      <c r="A2062" s="99">
        <v>45481</v>
      </c>
      <c r="B2062" s="103">
        <v>24320.55078125</v>
      </c>
    </row>
    <row r="2063" spans="1:2" x14ac:dyDescent="0.3">
      <c r="A2063" s="99">
        <v>45482</v>
      </c>
      <c r="B2063" s="103">
        <v>24433.19921875</v>
      </c>
    </row>
    <row r="2064" spans="1:2" x14ac:dyDescent="0.3">
      <c r="A2064" s="99">
        <v>45483</v>
      </c>
      <c r="B2064" s="103">
        <v>24324.44921875</v>
      </c>
    </row>
    <row r="2065" spans="1:2" x14ac:dyDescent="0.3">
      <c r="A2065" s="99">
        <v>45484</v>
      </c>
      <c r="B2065" s="103">
        <v>24315.94921875</v>
      </c>
    </row>
    <row r="2066" spans="1:2" x14ac:dyDescent="0.3">
      <c r="A2066" s="99">
        <v>45485</v>
      </c>
      <c r="B2066" s="103">
        <v>24502.150390625</v>
      </c>
    </row>
    <row r="2067" spans="1:2" x14ac:dyDescent="0.3">
      <c r="A2067" s="99">
        <v>45488</v>
      </c>
      <c r="B2067" s="103">
        <v>24586.69921875</v>
      </c>
    </row>
    <row r="2068" spans="1:2" x14ac:dyDescent="0.3">
      <c r="A2068" s="99">
        <v>45489</v>
      </c>
      <c r="B2068" s="103">
        <v>24613</v>
      </c>
    </row>
    <row r="2069" spans="1:2" x14ac:dyDescent="0.3">
      <c r="A2069" s="99">
        <v>45491</v>
      </c>
      <c r="B2069" s="103">
        <v>24800.849609375</v>
      </c>
    </row>
    <row r="2070" spans="1:2" x14ac:dyDescent="0.3">
      <c r="A2070" s="99">
        <v>45492</v>
      </c>
      <c r="B2070" s="103">
        <v>24530.900390625</v>
      </c>
    </row>
    <row r="2071" spans="1:2" x14ac:dyDescent="0.3">
      <c r="A2071" s="99">
        <v>45495</v>
      </c>
      <c r="B2071" s="103">
        <v>24509.25</v>
      </c>
    </row>
    <row r="2072" spans="1:2" x14ac:dyDescent="0.3">
      <c r="A2072" s="99">
        <v>45496</v>
      </c>
      <c r="B2072" s="103">
        <v>24479.05078125</v>
      </c>
    </row>
    <row r="2073" spans="1:2" x14ac:dyDescent="0.3">
      <c r="A2073" s="99">
        <v>45497</v>
      </c>
      <c r="B2073" s="103">
        <v>24413.5</v>
      </c>
    </row>
    <row r="2074" spans="1:2" x14ac:dyDescent="0.3">
      <c r="A2074" s="99">
        <v>45498</v>
      </c>
      <c r="B2074" s="103">
        <v>24406.099609375</v>
      </c>
    </row>
    <row r="2075" spans="1:2" x14ac:dyDescent="0.3">
      <c r="A2075" s="99">
        <v>45499</v>
      </c>
      <c r="B2075" s="103">
        <v>24834.849609375</v>
      </c>
    </row>
    <row r="2076" spans="1:2" x14ac:dyDescent="0.3">
      <c r="A2076" s="99">
        <v>45502</v>
      </c>
      <c r="B2076" s="103">
        <v>24836.099609375</v>
      </c>
    </row>
    <row r="2077" spans="1:2" x14ac:dyDescent="0.3">
      <c r="A2077" s="99">
        <v>45503</v>
      </c>
      <c r="B2077" s="103">
        <v>24857.30078125</v>
      </c>
    </row>
    <row r="2078" spans="1:2" x14ac:dyDescent="0.3">
      <c r="A2078" s="99">
        <v>45504</v>
      </c>
      <c r="B2078" s="103">
        <v>24951.150390625</v>
      </c>
    </row>
    <row r="2079" spans="1:2" x14ac:dyDescent="0.3">
      <c r="A2079" s="99">
        <v>45505</v>
      </c>
      <c r="B2079" s="103">
        <v>25010.900390625</v>
      </c>
    </row>
    <row r="2080" spans="1:2" x14ac:dyDescent="0.3">
      <c r="A2080" s="99">
        <v>45506</v>
      </c>
      <c r="B2080" s="103">
        <v>24717.69921875</v>
      </c>
    </row>
    <row r="2081" spans="1:2" x14ac:dyDescent="0.3">
      <c r="A2081" s="99">
        <v>45509</v>
      </c>
      <c r="B2081" s="103">
        <v>24055.599609375</v>
      </c>
    </row>
    <row r="2082" spans="1:2" x14ac:dyDescent="0.3">
      <c r="A2082" s="99">
        <v>45510</v>
      </c>
      <c r="B2082" s="103">
        <v>23992.55078125</v>
      </c>
    </row>
    <row r="2083" spans="1:2" x14ac:dyDescent="0.3">
      <c r="A2083" s="99">
        <v>45511</v>
      </c>
      <c r="B2083" s="103">
        <v>24297.5</v>
      </c>
    </row>
    <row r="2084" spans="1:2" x14ac:dyDescent="0.3">
      <c r="A2084" s="99">
        <v>45512</v>
      </c>
      <c r="B2084" s="103">
        <v>24117</v>
      </c>
    </row>
    <row r="2085" spans="1:2" x14ac:dyDescent="0.3">
      <c r="A2085" s="99">
        <v>45513</v>
      </c>
      <c r="B2085" s="103">
        <v>24367.5</v>
      </c>
    </row>
    <row r="2086" spans="1:2" x14ac:dyDescent="0.3">
      <c r="A2086" s="99">
        <v>45516</v>
      </c>
      <c r="B2086" s="103">
        <v>24347</v>
      </c>
    </row>
    <row r="2087" spans="1:2" x14ac:dyDescent="0.3">
      <c r="A2087" s="99">
        <v>45517</v>
      </c>
      <c r="B2087" s="103">
        <v>24139</v>
      </c>
    </row>
    <row r="2088" spans="1:2" x14ac:dyDescent="0.3">
      <c r="A2088" s="99">
        <v>45518</v>
      </c>
      <c r="B2088" s="103">
        <v>24143.75</v>
      </c>
    </row>
    <row r="2089" spans="1:2" x14ac:dyDescent="0.3">
      <c r="A2089" s="99">
        <v>45520</v>
      </c>
      <c r="B2089" s="103">
        <v>24541.150390625</v>
      </c>
    </row>
    <row r="2090" spans="1:2" x14ac:dyDescent="0.3">
      <c r="A2090" s="99">
        <v>45523</v>
      </c>
      <c r="B2090" s="103">
        <v>24572.650390625</v>
      </c>
    </row>
    <row r="2091" spans="1:2" x14ac:dyDescent="0.3">
      <c r="A2091" s="99">
        <v>45524</v>
      </c>
      <c r="B2091" s="103">
        <v>24698.849609375</v>
      </c>
    </row>
    <row r="2092" spans="1:2" x14ac:dyDescent="0.3">
      <c r="A2092" s="99">
        <v>45525</v>
      </c>
      <c r="B2092" s="103">
        <v>24770.19921875</v>
      </c>
    </row>
    <row r="2093" spans="1:2" x14ac:dyDescent="0.3">
      <c r="A2093" s="99">
        <v>45526</v>
      </c>
      <c r="B2093" s="103">
        <v>24811.5</v>
      </c>
    </row>
    <row r="2094" spans="1:2" x14ac:dyDescent="0.3">
      <c r="A2094" s="99">
        <v>45527</v>
      </c>
      <c r="B2094" s="103">
        <v>24823.150390625</v>
      </c>
    </row>
    <row r="2095" spans="1:2" x14ac:dyDescent="0.3">
      <c r="A2095" s="99">
        <v>45530</v>
      </c>
      <c r="B2095" s="103">
        <v>25010.599609375</v>
      </c>
    </row>
    <row r="2096" spans="1:2" x14ac:dyDescent="0.3">
      <c r="A2096" s="99">
        <v>45531</v>
      </c>
      <c r="B2096" s="103">
        <v>25017.75</v>
      </c>
    </row>
    <row r="2097" spans="1:2" x14ac:dyDescent="0.3">
      <c r="A2097" s="99">
        <v>45532</v>
      </c>
      <c r="B2097" s="103">
        <v>25052.349609375</v>
      </c>
    </row>
    <row r="2098" spans="1:2" x14ac:dyDescent="0.3">
      <c r="A2098" s="99">
        <v>45533</v>
      </c>
      <c r="B2098" s="103">
        <v>25151.94921875</v>
      </c>
    </row>
    <row r="2099" spans="1:2" x14ac:dyDescent="0.3">
      <c r="A2099" s="99">
        <v>45534</v>
      </c>
      <c r="B2099" s="103">
        <v>25235.900390625</v>
      </c>
    </row>
    <row r="2100" spans="1:2" x14ac:dyDescent="0.3">
      <c r="A2100" s="99">
        <v>45537</v>
      </c>
      <c r="B2100" s="103">
        <v>25278.69921875</v>
      </c>
    </row>
    <row r="2101" spans="1:2" x14ac:dyDescent="0.3">
      <c r="A2101" s="99">
        <v>45538</v>
      </c>
      <c r="B2101" s="103">
        <v>25279.849609375</v>
      </c>
    </row>
    <row r="2102" spans="1:2" x14ac:dyDescent="0.3">
      <c r="A2102" s="99">
        <v>45539</v>
      </c>
      <c r="B2102" s="103">
        <v>25198.69921875</v>
      </c>
    </row>
    <row r="2103" spans="1:2" x14ac:dyDescent="0.3">
      <c r="A2103" s="99">
        <v>45540</v>
      </c>
      <c r="B2103" s="103">
        <v>25145.099609375</v>
      </c>
    </row>
    <row r="2104" spans="1:2" x14ac:dyDescent="0.3">
      <c r="A2104" s="99">
        <v>45541</v>
      </c>
      <c r="B2104" s="103">
        <v>24852.150390625</v>
      </c>
    </row>
    <row r="2105" spans="1:2" x14ac:dyDescent="0.3">
      <c r="A2105" s="99">
        <v>45544</v>
      </c>
      <c r="B2105" s="103">
        <v>24936.400390625</v>
      </c>
    </row>
    <row r="2106" spans="1:2" x14ac:dyDescent="0.3">
      <c r="A2106" s="99">
        <v>45545</v>
      </c>
      <c r="B2106" s="103">
        <v>25041.099609375</v>
      </c>
    </row>
    <row r="2107" spans="1:2" x14ac:dyDescent="0.3">
      <c r="A2107" s="99">
        <v>45546</v>
      </c>
      <c r="B2107" s="103">
        <v>24918.44921875</v>
      </c>
    </row>
    <row r="2108" spans="1:2" x14ac:dyDescent="0.3">
      <c r="A2108" s="99">
        <v>45547</v>
      </c>
      <c r="B2108" s="103">
        <v>25388.900390625</v>
      </c>
    </row>
    <row r="2109" spans="1:2" x14ac:dyDescent="0.3">
      <c r="A2109" s="99">
        <v>45548</v>
      </c>
      <c r="B2109" s="103">
        <v>25356.5</v>
      </c>
    </row>
    <row r="2110" spans="1:2" x14ac:dyDescent="0.3">
      <c r="A2110" s="99">
        <v>45551</v>
      </c>
      <c r="B2110" s="103">
        <v>25383.75</v>
      </c>
    </row>
    <row r="2111" spans="1:2" x14ac:dyDescent="0.3">
      <c r="A2111" s="99">
        <v>45552</v>
      </c>
      <c r="B2111" s="103">
        <v>25418.55078125</v>
      </c>
    </row>
    <row r="2112" spans="1:2" x14ac:dyDescent="0.3">
      <c r="A2112" s="99">
        <v>45553</v>
      </c>
      <c r="B2112" s="103">
        <v>25377.55078125</v>
      </c>
    </row>
    <row r="2113" spans="1:2" x14ac:dyDescent="0.3">
      <c r="A2113" s="99">
        <v>45554</v>
      </c>
      <c r="B2113" s="103">
        <v>25415.80078125</v>
      </c>
    </row>
    <row r="2114" spans="1:2" x14ac:dyDescent="0.3">
      <c r="A2114" s="99">
        <v>45555</v>
      </c>
      <c r="B2114" s="103">
        <v>25790.94921875</v>
      </c>
    </row>
    <row r="2115" spans="1:2" x14ac:dyDescent="0.3">
      <c r="A2115" s="99">
        <v>45558</v>
      </c>
      <c r="B2115" s="103">
        <v>25939.05078125</v>
      </c>
    </row>
    <row r="2116" spans="1:2" x14ac:dyDescent="0.3">
      <c r="A2116" s="99">
        <v>45559</v>
      </c>
      <c r="B2116" s="103">
        <v>25940.400390625</v>
      </c>
    </row>
    <row r="2117" spans="1:2" x14ac:dyDescent="0.3">
      <c r="A2117" s="99">
        <v>45560</v>
      </c>
      <c r="B2117" s="103">
        <v>26004.150390625</v>
      </c>
    </row>
    <row r="2118" spans="1:2" x14ac:dyDescent="0.3">
      <c r="A2118" s="99">
        <v>45561</v>
      </c>
      <c r="B2118" s="103">
        <v>26216.05078125</v>
      </c>
    </row>
    <row r="2119" spans="1:2" x14ac:dyDescent="0.3">
      <c r="A2119" s="99">
        <v>45562</v>
      </c>
      <c r="B2119" s="103">
        <v>26178.94921875</v>
      </c>
    </row>
    <row r="2120" spans="1:2" x14ac:dyDescent="0.3">
      <c r="A2120" s="99">
        <v>45565</v>
      </c>
      <c r="B2120" s="103">
        <v>25810.849609375</v>
      </c>
    </row>
    <row r="2121" spans="1:2" x14ac:dyDescent="0.3">
      <c r="A2121" s="99">
        <v>45566</v>
      </c>
      <c r="B2121" s="103">
        <v>25796.900390625</v>
      </c>
    </row>
    <row r="2122" spans="1:2" x14ac:dyDescent="0.3">
      <c r="A2122" s="99">
        <v>45568</v>
      </c>
      <c r="B2122" s="103">
        <v>25250.099609375</v>
      </c>
    </row>
    <row r="2123" spans="1:2" x14ac:dyDescent="0.3">
      <c r="A2123" s="99">
        <v>45569</v>
      </c>
      <c r="B2123" s="103">
        <v>25014.599609375</v>
      </c>
    </row>
    <row r="2124" spans="1:2" x14ac:dyDescent="0.3">
      <c r="A2124" s="99">
        <v>45572</v>
      </c>
      <c r="B2124" s="103">
        <v>24795.75</v>
      </c>
    </row>
    <row r="2125" spans="1:2" x14ac:dyDescent="0.3">
      <c r="A2125" s="99">
        <v>45573</v>
      </c>
      <c r="B2125" s="103">
        <v>25013.150390625</v>
      </c>
    </row>
    <row r="2126" spans="1:2" x14ac:dyDescent="0.3">
      <c r="A2126" s="99">
        <v>45574</v>
      </c>
      <c r="B2126" s="103">
        <v>24981.94921875</v>
      </c>
    </row>
    <row r="2127" spans="1:2" x14ac:dyDescent="0.3">
      <c r="A2127" s="99">
        <v>45575</v>
      </c>
      <c r="B2127" s="103">
        <v>24998.44921875</v>
      </c>
    </row>
    <row r="2128" spans="1:2" x14ac:dyDescent="0.3">
      <c r="A2128" s="99">
        <v>45576</v>
      </c>
      <c r="B2128" s="103">
        <v>24964.25</v>
      </c>
    </row>
    <row r="2129" spans="1:2" x14ac:dyDescent="0.3">
      <c r="A2129" s="99">
        <v>45579</v>
      </c>
      <c r="B2129" s="103">
        <v>25127.94921875</v>
      </c>
    </row>
    <row r="2130" spans="1:2" x14ac:dyDescent="0.3">
      <c r="A2130" s="99">
        <v>45580</v>
      </c>
      <c r="B2130" s="103">
        <v>25057.349609375</v>
      </c>
    </row>
    <row r="2131" spans="1:2" x14ac:dyDescent="0.3">
      <c r="A2131" s="99">
        <v>45581</v>
      </c>
      <c r="B2131" s="103">
        <v>24971.30078125</v>
      </c>
    </row>
    <row r="2132" spans="1:2" x14ac:dyDescent="0.3">
      <c r="A2132" s="99">
        <v>45582</v>
      </c>
      <c r="B2132" s="103">
        <v>24749.849609375</v>
      </c>
    </row>
    <row r="2133" spans="1:2" x14ac:dyDescent="0.3">
      <c r="A2133" s="99">
        <v>45583</v>
      </c>
      <c r="B2133" s="103">
        <v>24854.05078125</v>
      </c>
    </row>
    <row r="2134" spans="1:2" x14ac:dyDescent="0.3">
      <c r="A2134" s="99">
        <v>45586</v>
      </c>
      <c r="B2134" s="103">
        <v>24781.099609375</v>
      </c>
    </row>
    <row r="2135" spans="1:2" x14ac:dyDescent="0.3">
      <c r="A2135" s="99">
        <v>45587</v>
      </c>
      <c r="B2135" s="103">
        <v>24472.099609375</v>
      </c>
    </row>
    <row r="2136" spans="1:2" x14ac:dyDescent="0.3">
      <c r="A2136" s="99">
        <v>45588</v>
      </c>
      <c r="B2136" s="103">
        <v>24435.5</v>
      </c>
    </row>
    <row r="2137" spans="1:2" x14ac:dyDescent="0.3">
      <c r="A2137" s="99">
        <v>45589</v>
      </c>
      <c r="B2137" s="103">
        <v>24399.400390625</v>
      </c>
    </row>
    <row r="2138" spans="1:2" x14ac:dyDescent="0.3">
      <c r="A2138" s="99">
        <v>45590</v>
      </c>
      <c r="B2138" s="103">
        <v>24180.80078125</v>
      </c>
    </row>
    <row r="2139" spans="1:2" x14ac:dyDescent="0.3">
      <c r="A2139" s="99">
        <v>45593</v>
      </c>
      <c r="B2139" s="103">
        <v>24339.150390625</v>
      </c>
    </row>
    <row r="2140" spans="1:2" x14ac:dyDescent="0.3">
      <c r="A2140" s="99">
        <v>45594</v>
      </c>
      <c r="B2140" s="103">
        <v>24466.849609375</v>
      </c>
    </row>
    <row r="2141" spans="1:2" x14ac:dyDescent="0.3">
      <c r="A2141" s="99">
        <v>45595</v>
      </c>
      <c r="B2141" s="103">
        <v>24340.849609375</v>
      </c>
    </row>
    <row r="2142" spans="1:2" x14ac:dyDescent="0.3">
      <c r="A2142" s="99">
        <v>45596</v>
      </c>
      <c r="B2142" s="103">
        <v>24205.349609375</v>
      </c>
    </row>
    <row r="2143" spans="1:2" x14ac:dyDescent="0.3">
      <c r="A2143" s="99">
        <v>45597</v>
      </c>
      <c r="B2143" s="103">
        <v>24304.349609375</v>
      </c>
    </row>
    <row r="2144" spans="1:2" x14ac:dyDescent="0.3">
      <c r="A2144" s="99">
        <v>45600</v>
      </c>
      <c r="B2144" s="103">
        <v>23995.349609375</v>
      </c>
    </row>
    <row r="2145" spans="1:2" x14ac:dyDescent="0.3">
      <c r="A2145" s="99">
        <v>45601</v>
      </c>
      <c r="B2145" s="103">
        <v>24213.30078125</v>
      </c>
    </row>
    <row r="2146" spans="1:2" x14ac:dyDescent="0.3">
      <c r="A2146" s="99">
        <v>45602</v>
      </c>
      <c r="B2146" s="103">
        <v>24484.05078125</v>
      </c>
    </row>
    <row r="2147" spans="1:2" x14ac:dyDescent="0.3">
      <c r="A2147" s="99">
        <v>45603</v>
      </c>
      <c r="B2147" s="103">
        <v>24199.349609375</v>
      </c>
    </row>
    <row r="2148" spans="1:2" x14ac:dyDescent="0.3">
      <c r="A2148" s="99">
        <v>45604</v>
      </c>
      <c r="B2148" s="103">
        <v>24148.19921875</v>
      </c>
    </row>
    <row r="2149" spans="1:2" x14ac:dyDescent="0.3">
      <c r="A2149" s="99">
        <v>45607</v>
      </c>
      <c r="B2149" s="103">
        <v>24141.30078125</v>
      </c>
    </row>
    <row r="2150" spans="1:2" x14ac:dyDescent="0.3">
      <c r="A2150" s="99">
        <v>45608</v>
      </c>
      <c r="B2150" s="103">
        <v>23883.44921875</v>
      </c>
    </row>
    <row r="2151" spans="1:2" x14ac:dyDescent="0.3">
      <c r="A2151" s="99">
        <v>45609</v>
      </c>
      <c r="B2151" s="103">
        <v>23559.05078125</v>
      </c>
    </row>
    <row r="2152" spans="1:2" x14ac:dyDescent="0.3">
      <c r="A2152" s="99">
        <v>45610</v>
      </c>
      <c r="B2152" s="103">
        <v>23532.69921875</v>
      </c>
    </row>
    <row r="2153" spans="1:2" x14ac:dyDescent="0.3">
      <c r="A2153" s="99">
        <v>45614</v>
      </c>
      <c r="B2153" s="103">
        <v>23453.80078125</v>
      </c>
    </row>
    <row r="2154" spans="1:2" x14ac:dyDescent="0.3">
      <c r="A2154" s="99">
        <v>45615</v>
      </c>
      <c r="B2154" s="103">
        <v>23518.5</v>
      </c>
    </row>
    <row r="2155" spans="1:2" x14ac:dyDescent="0.3">
      <c r="A2155" s="99">
        <v>45617</v>
      </c>
      <c r="B2155" s="103">
        <v>23349.900390625</v>
      </c>
    </row>
    <row r="2156" spans="1:2" x14ac:dyDescent="0.3">
      <c r="A2156" s="99">
        <v>45618</v>
      </c>
      <c r="B2156" s="103">
        <v>23907.25</v>
      </c>
    </row>
    <row r="2157" spans="1:2" x14ac:dyDescent="0.3">
      <c r="A2157" s="99">
        <v>45621</v>
      </c>
      <c r="B2157" s="103">
        <v>24221.900390625</v>
      </c>
    </row>
    <row r="2158" spans="1:2" x14ac:dyDescent="0.3">
      <c r="A2158" s="99">
        <v>45622</v>
      </c>
      <c r="B2158" s="103">
        <v>24194.5</v>
      </c>
    </row>
    <row r="2159" spans="1:2" x14ac:dyDescent="0.3">
      <c r="A2159" s="99">
        <v>45623</v>
      </c>
      <c r="B2159" s="103">
        <v>24274.900390625</v>
      </c>
    </row>
    <row r="2160" spans="1:2" x14ac:dyDescent="0.3">
      <c r="A2160" s="99">
        <v>45624</v>
      </c>
      <c r="B2160" s="103">
        <v>23914.150390625</v>
      </c>
    </row>
    <row r="2161" spans="1:2" x14ac:dyDescent="0.3">
      <c r="A2161" s="99">
        <v>45625</v>
      </c>
      <c r="B2161" s="103">
        <v>24131.099609375</v>
      </c>
    </row>
    <row r="2162" spans="1:2" x14ac:dyDescent="0.3">
      <c r="A2162" s="99">
        <v>45628</v>
      </c>
      <c r="B2162" s="103">
        <v>24276.05078125</v>
      </c>
    </row>
    <row r="2163" spans="1:2" x14ac:dyDescent="0.3">
      <c r="A2163" s="99">
        <v>45629</v>
      </c>
      <c r="B2163" s="103">
        <v>24457.150390625</v>
      </c>
    </row>
    <row r="2164" spans="1:2" x14ac:dyDescent="0.3">
      <c r="A2164" s="99">
        <v>45630</v>
      </c>
      <c r="B2164" s="103">
        <v>24467.44921875</v>
      </c>
    </row>
    <row r="2165" spans="1:2" x14ac:dyDescent="0.3">
      <c r="A2165" s="99">
        <v>45631</v>
      </c>
      <c r="B2165" s="103">
        <v>24708.400390625</v>
      </c>
    </row>
    <row r="2166" spans="1:2" x14ac:dyDescent="0.3">
      <c r="A2166" s="99">
        <v>45632</v>
      </c>
      <c r="B2166" s="103">
        <v>24677.80078125</v>
      </c>
    </row>
    <row r="2167" spans="1:2" x14ac:dyDescent="0.3">
      <c r="A2167" s="99">
        <v>45635</v>
      </c>
      <c r="B2167" s="103">
        <v>24619</v>
      </c>
    </row>
    <row r="2168" spans="1:2" x14ac:dyDescent="0.3">
      <c r="A2168" s="99">
        <v>45636</v>
      </c>
      <c r="B2168" s="103">
        <v>24610.05078125</v>
      </c>
    </row>
    <row r="2169" spans="1:2" x14ac:dyDescent="0.3">
      <c r="A2169" s="99">
        <v>45637</v>
      </c>
      <c r="B2169" s="103">
        <v>24641.80078125</v>
      </c>
    </row>
    <row r="2170" spans="1:2" x14ac:dyDescent="0.3">
      <c r="A2170" s="99">
        <v>45638</v>
      </c>
      <c r="B2170" s="103">
        <v>24548.69921875</v>
      </c>
    </row>
    <row r="2171" spans="1:2" x14ac:dyDescent="0.3">
      <c r="A2171" s="99">
        <v>45639</v>
      </c>
      <c r="B2171" s="103">
        <v>24768.30078125</v>
      </c>
    </row>
    <row r="2172" spans="1:2" x14ac:dyDescent="0.3">
      <c r="A2172" s="99">
        <v>45642</v>
      </c>
      <c r="B2172" s="103">
        <v>24668.25</v>
      </c>
    </row>
    <row r="2173" spans="1:2" x14ac:dyDescent="0.3">
      <c r="A2173" s="99">
        <v>45643</v>
      </c>
      <c r="B2173" s="103">
        <v>24336</v>
      </c>
    </row>
    <row r="2174" spans="1:2" x14ac:dyDescent="0.3">
      <c r="A2174" s="99">
        <v>45644</v>
      </c>
      <c r="B2174" s="103">
        <v>24198.849609375</v>
      </c>
    </row>
    <row r="2175" spans="1:2" x14ac:dyDescent="0.3">
      <c r="A2175" s="99">
        <v>45645</v>
      </c>
      <c r="B2175" s="103">
        <v>23951.69921875</v>
      </c>
    </row>
    <row r="2176" spans="1:2" x14ac:dyDescent="0.3">
      <c r="A2176" s="99">
        <v>45646</v>
      </c>
      <c r="B2176" s="103">
        <v>23587.5</v>
      </c>
    </row>
    <row r="2177" spans="1:2" x14ac:dyDescent="0.3">
      <c r="A2177" s="99">
        <v>45649</v>
      </c>
      <c r="B2177" s="103">
        <v>23753.44921875</v>
      </c>
    </row>
    <row r="2178" spans="1:2" x14ac:dyDescent="0.3">
      <c r="A2178" s="99">
        <v>45650</v>
      </c>
      <c r="B2178" s="103">
        <v>23727.650390625</v>
      </c>
    </row>
    <row r="2179" spans="1:2" x14ac:dyDescent="0.3">
      <c r="A2179" s="99">
        <v>45652</v>
      </c>
      <c r="B2179" s="103">
        <v>23750.19921875</v>
      </c>
    </row>
    <row r="2180" spans="1:2" x14ac:dyDescent="0.3">
      <c r="A2180" s="99">
        <v>45653</v>
      </c>
      <c r="B2180" s="103">
        <v>23813.400390625</v>
      </c>
    </row>
    <row r="2181" spans="1:2" x14ac:dyDescent="0.3">
      <c r="A2181" s="99">
        <v>45656</v>
      </c>
      <c r="B2181" s="103">
        <v>23644.900390625</v>
      </c>
    </row>
    <row r="2182" spans="1:2" x14ac:dyDescent="0.3">
      <c r="A2182" s="99">
        <v>45657</v>
      </c>
      <c r="B2182" s="103">
        <v>23644.80078125</v>
      </c>
    </row>
    <row r="2183" spans="1:2" x14ac:dyDescent="0.3">
      <c r="A2183" s="99">
        <v>45658</v>
      </c>
      <c r="B2183" s="103">
        <v>23742.900390625</v>
      </c>
    </row>
    <row r="2184" spans="1:2" x14ac:dyDescent="0.3">
      <c r="A2184" s="99">
        <v>45659</v>
      </c>
      <c r="B2184" s="103">
        <v>24188.650390625</v>
      </c>
    </row>
    <row r="2185" spans="1:2" x14ac:dyDescent="0.3">
      <c r="A2185" s="99">
        <v>45660</v>
      </c>
      <c r="B2185" s="103">
        <v>24004.75</v>
      </c>
    </row>
    <row r="2186" spans="1:2" x14ac:dyDescent="0.3">
      <c r="A2186" s="99">
        <v>45663</v>
      </c>
      <c r="B2186" s="103">
        <v>23616.05078125</v>
      </c>
    </row>
    <row r="2187" spans="1:2" x14ac:dyDescent="0.3">
      <c r="A2187" s="99">
        <v>45664</v>
      </c>
      <c r="B2187" s="103">
        <v>23707.900390625</v>
      </c>
    </row>
    <row r="2188" spans="1:2" x14ac:dyDescent="0.3">
      <c r="A2188" s="99">
        <v>45665</v>
      </c>
      <c r="B2188" s="103">
        <v>23688.94921875</v>
      </c>
    </row>
    <row r="2189" spans="1:2" x14ac:dyDescent="0.3">
      <c r="A2189" s="99">
        <v>45666</v>
      </c>
      <c r="B2189" s="103">
        <v>23526.5</v>
      </c>
    </row>
    <row r="2190" spans="1:2" x14ac:dyDescent="0.3">
      <c r="A2190" s="99">
        <v>45667</v>
      </c>
      <c r="B2190" s="103">
        <v>23431.5</v>
      </c>
    </row>
    <row r="2191" spans="1:2" x14ac:dyDescent="0.3">
      <c r="A2191" s="99">
        <v>45670</v>
      </c>
      <c r="B2191" s="103">
        <v>23085.94921875</v>
      </c>
    </row>
    <row r="2192" spans="1:2" x14ac:dyDescent="0.3">
      <c r="A2192" s="99">
        <v>45671</v>
      </c>
      <c r="B2192" s="103">
        <v>23176.05078125</v>
      </c>
    </row>
    <row r="2193" spans="1:2" x14ac:dyDescent="0.3">
      <c r="A2193" s="99">
        <v>45672</v>
      </c>
      <c r="B2193" s="103">
        <v>23213.19921875</v>
      </c>
    </row>
    <row r="2194" spans="1:2" x14ac:dyDescent="0.3">
      <c r="A2194" s="99">
        <v>45673</v>
      </c>
      <c r="B2194" s="103">
        <v>23311.80078125</v>
      </c>
    </row>
    <row r="2195" spans="1:2" x14ac:dyDescent="0.3">
      <c r="A2195" s="99">
        <v>45674</v>
      </c>
      <c r="B2195" s="103">
        <v>23203.19921875</v>
      </c>
    </row>
    <row r="2196" spans="1:2" x14ac:dyDescent="0.3">
      <c r="A2196" s="99">
        <v>45677</v>
      </c>
      <c r="B2196" s="103">
        <v>23344.75</v>
      </c>
    </row>
    <row r="2197" spans="1:2" x14ac:dyDescent="0.3">
      <c r="A2197" s="99">
        <v>45678</v>
      </c>
      <c r="B2197" s="103">
        <v>23024.650390625</v>
      </c>
    </row>
    <row r="2198" spans="1:2" x14ac:dyDescent="0.3">
      <c r="A2198" s="99">
        <v>45679</v>
      </c>
      <c r="B2198" s="103">
        <v>23155.349609375</v>
      </c>
    </row>
    <row r="2199" spans="1:2" x14ac:dyDescent="0.3">
      <c r="A2199" s="99">
        <v>45680</v>
      </c>
      <c r="B2199" s="103">
        <v>23205.349609375</v>
      </c>
    </row>
    <row r="2200" spans="1:2" x14ac:dyDescent="0.3">
      <c r="A2200" s="99">
        <v>45681</v>
      </c>
      <c r="B2200" s="103">
        <v>23092.19921875</v>
      </c>
    </row>
    <row r="2201" spans="1:2" x14ac:dyDescent="0.3">
      <c r="A2201" s="99">
        <v>45684</v>
      </c>
      <c r="B2201" s="103">
        <v>22829.150390625</v>
      </c>
    </row>
    <row r="2202" spans="1:2" x14ac:dyDescent="0.3">
      <c r="A2202" s="99">
        <v>45685</v>
      </c>
      <c r="B2202" s="103">
        <v>22957.25</v>
      </c>
    </row>
    <row r="2203" spans="1:2" x14ac:dyDescent="0.3">
      <c r="A2203" s="99">
        <v>45686</v>
      </c>
      <c r="B2203" s="103">
        <v>23163.099609375</v>
      </c>
    </row>
    <row r="2204" spans="1:2" x14ac:dyDescent="0.3">
      <c r="A2204" s="99">
        <v>45687</v>
      </c>
      <c r="B2204" s="103">
        <v>23249.5</v>
      </c>
    </row>
    <row r="2205" spans="1:2" x14ac:dyDescent="0.3">
      <c r="A2205" s="99">
        <v>45688</v>
      </c>
      <c r="B2205" s="103">
        <v>23508.400390625</v>
      </c>
    </row>
    <row r="2206" spans="1:2" x14ac:dyDescent="0.3">
      <c r="A2206" s="99">
        <v>45689</v>
      </c>
      <c r="B2206" s="103">
        <v>23482.150390625</v>
      </c>
    </row>
    <row r="2207" spans="1:2" x14ac:dyDescent="0.3">
      <c r="A2207" s="99">
        <v>45691</v>
      </c>
      <c r="B2207" s="103">
        <v>23361.05078125</v>
      </c>
    </row>
    <row r="2208" spans="1:2" x14ac:dyDescent="0.3">
      <c r="A2208" s="99">
        <v>45692</v>
      </c>
      <c r="B2208" s="103">
        <v>23739.25</v>
      </c>
    </row>
    <row r="2209" spans="1:2" x14ac:dyDescent="0.3">
      <c r="A2209" s="99">
        <v>45693</v>
      </c>
      <c r="B2209" s="103">
        <v>23696.30078125</v>
      </c>
    </row>
    <row r="2210" spans="1:2" x14ac:dyDescent="0.3">
      <c r="A2210" s="99">
        <v>45694</v>
      </c>
      <c r="B2210" s="103">
        <v>23603.349609375</v>
      </c>
    </row>
    <row r="2211" spans="1:2" x14ac:dyDescent="0.3">
      <c r="A2211" s="99">
        <v>45695</v>
      </c>
      <c r="B2211" s="103">
        <v>23559.94921875</v>
      </c>
    </row>
    <row r="2212" spans="1:2" x14ac:dyDescent="0.3">
      <c r="A2212" s="99">
        <v>45698</v>
      </c>
      <c r="B2212" s="103">
        <v>23381.599609375</v>
      </c>
    </row>
    <row r="2213" spans="1:2" x14ac:dyDescent="0.3">
      <c r="A2213" s="99">
        <v>45699</v>
      </c>
      <c r="B2213" s="103">
        <v>23071.80078125</v>
      </c>
    </row>
    <row r="2214" spans="1:2" x14ac:dyDescent="0.3">
      <c r="A2214" s="99">
        <v>45700</v>
      </c>
      <c r="B2214" s="103">
        <v>23045.25</v>
      </c>
    </row>
    <row r="2215" spans="1:2" x14ac:dyDescent="0.3">
      <c r="A2215" s="99">
        <v>45701</v>
      </c>
      <c r="B2215" s="103">
        <v>23031.400390625</v>
      </c>
    </row>
    <row r="2216" spans="1:2" x14ac:dyDescent="0.3">
      <c r="A2216" s="99">
        <v>45702</v>
      </c>
      <c r="B2216" s="103">
        <v>22929.25</v>
      </c>
    </row>
    <row r="2217" spans="1:2" x14ac:dyDescent="0.3">
      <c r="A2217" s="99">
        <v>45705</v>
      </c>
      <c r="B2217" s="103">
        <v>22959.5</v>
      </c>
    </row>
    <row r="2218" spans="1:2" x14ac:dyDescent="0.3">
      <c r="A2218" s="99">
        <v>45706</v>
      </c>
      <c r="B2218" s="103">
        <v>22945.30078125</v>
      </c>
    </row>
    <row r="2219" spans="1:2" x14ac:dyDescent="0.3">
      <c r="A2219" s="99">
        <v>45707</v>
      </c>
      <c r="B2219" s="103">
        <v>22932.900390625</v>
      </c>
    </row>
    <row r="2220" spans="1:2" x14ac:dyDescent="0.3">
      <c r="A2220" s="99">
        <v>45708</v>
      </c>
      <c r="B2220" s="103">
        <v>22913.150390625</v>
      </c>
    </row>
    <row r="2221" spans="1:2" x14ac:dyDescent="0.3">
      <c r="A2221" s="99">
        <v>45709</v>
      </c>
      <c r="B2221" s="103">
        <v>22795.900390625</v>
      </c>
    </row>
    <row r="2222" spans="1:2" x14ac:dyDescent="0.3">
      <c r="A2222" s="99">
        <v>45712</v>
      </c>
      <c r="B2222" s="103">
        <v>22553.349609375</v>
      </c>
    </row>
    <row r="2223" spans="1:2" x14ac:dyDescent="0.3">
      <c r="A2223" s="99">
        <v>45713</v>
      </c>
      <c r="B2223" s="103">
        <v>22547.55078125</v>
      </c>
    </row>
    <row r="2224" spans="1:2" x14ac:dyDescent="0.3">
      <c r="A2224" s="99">
        <v>45715</v>
      </c>
      <c r="B2224" s="103">
        <v>22545.05078125</v>
      </c>
    </row>
    <row r="2225" spans="1:2" x14ac:dyDescent="0.3">
      <c r="A2225" s="99">
        <v>45716</v>
      </c>
      <c r="B2225" s="103">
        <v>22124.69921875</v>
      </c>
    </row>
    <row r="2226" spans="1:2" x14ac:dyDescent="0.3">
      <c r="A2226" s="99">
        <v>45719</v>
      </c>
      <c r="B2226" s="103">
        <v>22119.30078125</v>
      </c>
    </row>
    <row r="2227" spans="1:2" x14ac:dyDescent="0.3">
      <c r="A2227" s="99">
        <v>45720</v>
      </c>
      <c r="B2227" s="103">
        <v>22082.650390625</v>
      </c>
    </row>
    <row r="2228" spans="1:2" x14ac:dyDescent="0.3">
      <c r="A2228" s="99">
        <v>45721</v>
      </c>
      <c r="B2228" s="103">
        <v>22337.30078125</v>
      </c>
    </row>
    <row r="2229" spans="1:2" x14ac:dyDescent="0.3">
      <c r="A2229" s="99">
        <v>45722</v>
      </c>
      <c r="B2229" s="103">
        <v>22544.69921875</v>
      </c>
    </row>
    <row r="2230" spans="1:2" x14ac:dyDescent="0.3">
      <c r="A2230" s="99">
        <v>45723</v>
      </c>
      <c r="B2230" s="103">
        <v>22552.5</v>
      </c>
    </row>
    <row r="2231" spans="1:2" x14ac:dyDescent="0.3">
      <c r="A2231" s="99">
        <v>45726</v>
      </c>
      <c r="B2231" s="103">
        <v>22460.30078125</v>
      </c>
    </row>
    <row r="2232" spans="1:2" x14ac:dyDescent="0.3">
      <c r="A2232" s="99">
        <v>45727</v>
      </c>
      <c r="B2232" s="103">
        <v>22497.900390625</v>
      </c>
    </row>
    <row r="2233" spans="1:2" x14ac:dyDescent="0.3">
      <c r="A2233" s="99">
        <v>45728</v>
      </c>
      <c r="B2233" s="103">
        <v>22470.5</v>
      </c>
    </row>
    <row r="2234" spans="1:2" x14ac:dyDescent="0.3">
      <c r="A2234" s="99">
        <v>45729</v>
      </c>
      <c r="B2234" s="103">
        <v>22397.19921875</v>
      </c>
    </row>
    <row r="2235" spans="1:2" x14ac:dyDescent="0.3">
      <c r="A2235" s="99">
        <v>45733</v>
      </c>
      <c r="B2235" s="103">
        <v>22508.75</v>
      </c>
    </row>
    <row r="2236" spans="1:2" x14ac:dyDescent="0.3">
      <c r="A2236" s="99">
        <v>45734</v>
      </c>
      <c r="B2236" s="103">
        <v>22834.30078125</v>
      </c>
    </row>
    <row r="2237" spans="1:2" x14ac:dyDescent="0.3">
      <c r="A2237" s="99">
        <v>45735</v>
      </c>
      <c r="B2237" s="103">
        <v>22907.599609375</v>
      </c>
    </row>
    <row r="2238" spans="1:2" x14ac:dyDescent="0.3">
      <c r="A2238" s="99">
        <v>45736</v>
      </c>
      <c r="B2238" s="103">
        <v>23190.650390625</v>
      </c>
    </row>
    <row r="2239" spans="1:2" x14ac:dyDescent="0.3">
      <c r="A2239" s="99">
        <v>45737</v>
      </c>
      <c r="B2239" s="103">
        <v>23350.400390625</v>
      </c>
    </row>
    <row r="2240" spans="1:2" x14ac:dyDescent="0.3">
      <c r="A2240" s="99">
        <v>45740</v>
      </c>
      <c r="B2240" s="103">
        <v>23658.349609375</v>
      </c>
    </row>
    <row r="2241" spans="1:2" x14ac:dyDescent="0.3">
      <c r="A2241" s="99">
        <v>45741</v>
      </c>
      <c r="B2241" s="103">
        <v>23668.650390625</v>
      </c>
    </row>
    <row r="2242" spans="1:2" x14ac:dyDescent="0.3">
      <c r="A2242" s="99">
        <v>45742</v>
      </c>
      <c r="B2242" s="103">
        <v>23486.849609375</v>
      </c>
    </row>
    <row r="2243" spans="1:2" x14ac:dyDescent="0.3">
      <c r="A2243" s="99">
        <v>45743</v>
      </c>
      <c r="B2243" s="103">
        <v>23591.94921875</v>
      </c>
    </row>
    <row r="2244" spans="1:2" x14ac:dyDescent="0.3">
      <c r="A2244" s="99">
        <v>45744</v>
      </c>
      <c r="B2244" s="103">
        <v>23519.349609375</v>
      </c>
    </row>
    <row r="2245" spans="1:2" x14ac:dyDescent="0.3">
      <c r="A2245" s="99">
        <v>45748</v>
      </c>
      <c r="B2245" s="103">
        <v>23165.69921875</v>
      </c>
    </row>
    <row r="2246" spans="1:2" x14ac:dyDescent="0.3">
      <c r="A2246" s="99">
        <v>45749</v>
      </c>
      <c r="B2246" s="103">
        <v>23332.349609375</v>
      </c>
    </row>
    <row r="2247" spans="1:2" x14ac:dyDescent="0.3">
      <c r="A2247" s="99">
        <v>45750</v>
      </c>
      <c r="B2247" s="103">
        <v>23250.099609375</v>
      </c>
    </row>
    <row r="2248" spans="1:2" x14ac:dyDescent="0.3">
      <c r="A2248" s="99">
        <v>45751</v>
      </c>
      <c r="B2248" s="103">
        <v>22904.44921875</v>
      </c>
    </row>
    <row r="2249" spans="1:2" x14ac:dyDescent="0.3">
      <c r="A2249" s="99">
        <v>45754</v>
      </c>
      <c r="B2249" s="103">
        <v>22161.599609375</v>
      </c>
    </row>
    <row r="2250" spans="1:2" x14ac:dyDescent="0.3">
      <c r="A2250" s="99">
        <v>45755</v>
      </c>
      <c r="B2250" s="103">
        <v>22535.849609375</v>
      </c>
    </row>
    <row r="2251" spans="1:2" x14ac:dyDescent="0.3">
      <c r="A2251" s="99">
        <v>45756</v>
      </c>
      <c r="B2251" s="103">
        <v>22399.150390625</v>
      </c>
    </row>
    <row r="2252" spans="1:2" x14ac:dyDescent="0.3">
      <c r="A2252" s="99">
        <v>45758</v>
      </c>
      <c r="B2252" s="103">
        <v>22828.55078125</v>
      </c>
    </row>
    <row r="2253" spans="1:2" x14ac:dyDescent="0.3">
      <c r="A2253" s="99">
        <v>45762</v>
      </c>
      <c r="B2253" s="103">
        <v>23328.55078125</v>
      </c>
    </row>
    <row r="2254" spans="1:2" x14ac:dyDescent="0.3">
      <c r="A2254" s="99">
        <v>45763</v>
      </c>
      <c r="B2254" s="103">
        <v>23437.19921875</v>
      </c>
    </row>
    <row r="2255" spans="1:2" x14ac:dyDescent="0.3">
      <c r="A2255" s="99">
        <v>45764</v>
      </c>
      <c r="B2255" s="103">
        <v>23851.650390625</v>
      </c>
    </row>
    <row r="2256" spans="1:2" x14ac:dyDescent="0.3">
      <c r="A2256" s="99">
        <v>45768</v>
      </c>
      <c r="B2256" s="103">
        <v>24125.55078125</v>
      </c>
    </row>
    <row r="2257" spans="1:2" x14ac:dyDescent="0.3">
      <c r="A2257" s="99">
        <v>45769</v>
      </c>
      <c r="B2257" s="103">
        <v>24167.25</v>
      </c>
    </row>
    <row r="2258" spans="1:2" x14ac:dyDescent="0.3">
      <c r="A2258" s="99">
        <v>45770</v>
      </c>
      <c r="B2258" s="103">
        <v>24328.94921875</v>
      </c>
    </row>
    <row r="2259" spans="1:2" x14ac:dyDescent="0.3">
      <c r="A2259" s="99">
        <v>45771</v>
      </c>
      <c r="B2259" s="103">
        <v>24246.69921875</v>
      </c>
    </row>
    <row r="2260" spans="1:2" x14ac:dyDescent="0.3">
      <c r="A2260" s="99">
        <v>45772</v>
      </c>
      <c r="B2260" s="103">
        <v>24039.349609375</v>
      </c>
    </row>
    <row r="2261" spans="1:2" x14ac:dyDescent="0.3">
      <c r="A2261" s="99">
        <v>45775</v>
      </c>
      <c r="B2261" s="103">
        <v>24328.5</v>
      </c>
    </row>
    <row r="2262" spans="1:2" x14ac:dyDescent="0.3">
      <c r="A2262" s="99">
        <v>45776</v>
      </c>
      <c r="B2262" s="103">
        <v>24335.94921875</v>
      </c>
    </row>
    <row r="2263" spans="1:2" x14ac:dyDescent="0.3">
      <c r="A2263" s="99">
        <v>45777</v>
      </c>
      <c r="B2263" s="103">
        <v>24334.19921875</v>
      </c>
    </row>
    <row r="2264" spans="1:2" x14ac:dyDescent="0.3">
      <c r="A2264" s="99">
        <v>45779</v>
      </c>
      <c r="B2264" s="103">
        <v>24346.69921875</v>
      </c>
    </row>
    <row r="2265" spans="1:2" x14ac:dyDescent="0.3">
      <c r="A2265" s="99">
        <v>45782</v>
      </c>
      <c r="B2265" s="103">
        <v>24461.150390625</v>
      </c>
    </row>
    <row r="2266" spans="1:2" x14ac:dyDescent="0.3">
      <c r="A2266" s="99">
        <v>45783</v>
      </c>
      <c r="B2266" s="103">
        <v>24379.599609375</v>
      </c>
    </row>
    <row r="2267" spans="1:2" x14ac:dyDescent="0.3">
      <c r="A2267" s="99">
        <v>45784</v>
      </c>
      <c r="B2267" s="103">
        <v>24414.400390625</v>
      </c>
    </row>
    <row r="2268" spans="1:2" x14ac:dyDescent="0.3">
      <c r="A2268" s="99">
        <v>45785</v>
      </c>
      <c r="B2268" s="103">
        <v>24273.80078125</v>
      </c>
    </row>
    <row r="2269" spans="1:2" x14ac:dyDescent="0.3">
      <c r="A2269" s="99">
        <v>45786</v>
      </c>
      <c r="B2269" s="103">
        <v>24008</v>
      </c>
    </row>
    <row r="2270" spans="1:2" x14ac:dyDescent="0.3">
      <c r="A2270" s="99">
        <v>45789</v>
      </c>
      <c r="B2270" s="103">
        <v>24924.69921875</v>
      </c>
    </row>
    <row r="2271" spans="1:2" x14ac:dyDescent="0.3">
      <c r="A2271" s="99">
        <v>45790</v>
      </c>
      <c r="B2271" s="103">
        <v>24578.349609375</v>
      </c>
    </row>
    <row r="2272" spans="1:2" x14ac:dyDescent="0.3">
      <c r="A2272" s="99">
        <v>45791</v>
      </c>
      <c r="B2272" s="103">
        <v>24666.900390625</v>
      </c>
    </row>
    <row r="2273" spans="1:2" x14ac:dyDescent="0.3">
      <c r="A2273" s="99">
        <v>45792</v>
      </c>
      <c r="B2273" s="103">
        <v>25062.099609375</v>
      </c>
    </row>
    <row r="2274" spans="1:2" x14ac:dyDescent="0.3">
      <c r="A2274" s="99">
        <v>45793</v>
      </c>
      <c r="B2274" s="103">
        <v>25019.80078125</v>
      </c>
    </row>
    <row r="2275" spans="1:2" x14ac:dyDescent="0.3">
      <c r="A2275" s="99">
        <v>45796</v>
      </c>
      <c r="B2275" s="103">
        <v>24945.44921875</v>
      </c>
    </row>
    <row r="2276" spans="1:2" x14ac:dyDescent="0.3">
      <c r="A2276" s="99">
        <v>45797</v>
      </c>
      <c r="B2276" s="103">
        <v>24683.900390625</v>
      </c>
    </row>
    <row r="2277" spans="1:2" x14ac:dyDescent="0.3">
      <c r="A2277" s="99">
        <v>45798</v>
      </c>
      <c r="B2277" s="103">
        <v>24813.44921875</v>
      </c>
    </row>
    <row r="2278" spans="1:2" x14ac:dyDescent="0.3">
      <c r="A2278" s="99">
        <v>45799</v>
      </c>
      <c r="B2278" s="103">
        <v>24609.69921875</v>
      </c>
    </row>
    <row r="2279" spans="1:2" x14ac:dyDescent="0.3">
      <c r="A2279" s="99">
        <v>45800</v>
      </c>
      <c r="B2279" s="103">
        <v>24853.150390625</v>
      </c>
    </row>
    <row r="2280" spans="1:2" x14ac:dyDescent="0.3">
      <c r="A2280" s="99">
        <v>45803</v>
      </c>
      <c r="B2280" s="103">
        <v>25001.150390625</v>
      </c>
    </row>
    <row r="2281" spans="1:2" x14ac:dyDescent="0.3">
      <c r="A2281" s="99">
        <v>45804</v>
      </c>
      <c r="B2281" s="103">
        <v>24826.19921875</v>
      </c>
    </row>
    <row r="2282" spans="1:2" x14ac:dyDescent="0.3">
      <c r="A2282" s="99">
        <v>45805</v>
      </c>
      <c r="B2282" s="103">
        <v>24752.44921875</v>
      </c>
    </row>
    <row r="2283" spans="1:2" x14ac:dyDescent="0.3">
      <c r="A2283" s="99">
        <v>45806</v>
      </c>
      <c r="B2283" s="103">
        <v>24833.599609375</v>
      </c>
    </row>
    <row r="2284" spans="1:2" x14ac:dyDescent="0.3">
      <c r="A2284" s="99">
        <v>45807</v>
      </c>
      <c r="B2284" s="103">
        <v>24750.69921875</v>
      </c>
    </row>
    <row r="2285" spans="1:2" x14ac:dyDescent="0.3">
      <c r="A2285" s="99">
        <v>45810</v>
      </c>
      <c r="B2285" s="103">
        <v>24716.599609375</v>
      </c>
    </row>
    <row r="2286" spans="1:2" x14ac:dyDescent="0.3">
      <c r="A2286" s="99">
        <v>45811</v>
      </c>
      <c r="B2286" s="103">
        <v>24542.5</v>
      </c>
    </row>
    <row r="2287" spans="1:2" x14ac:dyDescent="0.3">
      <c r="A2287" s="99">
        <v>45812</v>
      </c>
      <c r="B2287" s="103">
        <v>24620.19921875</v>
      </c>
    </row>
    <row r="2288" spans="1:2" x14ac:dyDescent="0.3">
      <c r="A2288" s="99">
        <v>45813</v>
      </c>
      <c r="B2288" s="103">
        <v>24750.900390625</v>
      </c>
    </row>
    <row r="2289" spans="1:2" x14ac:dyDescent="0.3">
      <c r="A2289" s="99">
        <v>45814</v>
      </c>
      <c r="B2289" s="103">
        <v>25003.05078125</v>
      </c>
    </row>
    <row r="2290" spans="1:2" x14ac:dyDescent="0.3">
      <c r="A2290" s="99">
        <v>45817</v>
      </c>
      <c r="B2290" s="103">
        <v>25103.19921875</v>
      </c>
    </row>
    <row r="2291" spans="1:2" x14ac:dyDescent="0.3">
      <c r="A2291" s="99">
        <v>45818</v>
      </c>
      <c r="B2291" s="103">
        <v>25104.25</v>
      </c>
    </row>
    <row r="2292" spans="1:2" x14ac:dyDescent="0.3">
      <c r="A2292" s="99">
        <v>45819</v>
      </c>
      <c r="B2292" s="103">
        <v>25141.400390625</v>
      </c>
    </row>
    <row r="2293" spans="1:2" x14ac:dyDescent="0.3">
      <c r="A2293" s="99">
        <v>45820</v>
      </c>
      <c r="B2293" s="103">
        <v>24888.19921875</v>
      </c>
    </row>
    <row r="2294" spans="1:2" x14ac:dyDescent="0.3">
      <c r="A2294" s="99">
        <v>45821</v>
      </c>
      <c r="B2294" s="103">
        <v>24718.599609375</v>
      </c>
    </row>
    <row r="2295" spans="1:2" x14ac:dyDescent="0.3">
      <c r="A2295" s="99">
        <v>45824</v>
      </c>
      <c r="B2295" s="103">
        <v>24946.5</v>
      </c>
    </row>
    <row r="2296" spans="1:2" x14ac:dyDescent="0.3">
      <c r="A2296" s="99">
        <v>45825</v>
      </c>
      <c r="B2296" s="103">
        <v>24853.400390625</v>
      </c>
    </row>
    <row r="2297" spans="1:2" x14ac:dyDescent="0.3">
      <c r="A2297" s="99">
        <v>45826</v>
      </c>
      <c r="B2297" s="103">
        <v>24812.05078125</v>
      </c>
    </row>
    <row r="2298" spans="1:2" x14ac:dyDescent="0.3">
      <c r="A2298" s="99">
        <v>45827</v>
      </c>
      <c r="B2298" s="103">
        <v>24793.25</v>
      </c>
    </row>
    <row r="2299" spans="1:2" x14ac:dyDescent="0.3">
      <c r="A2299" s="99">
        <v>45828</v>
      </c>
      <c r="B2299" s="103">
        <v>25112.400390625</v>
      </c>
    </row>
    <row r="2300" spans="1:2" x14ac:dyDescent="0.3">
      <c r="A2300" s="99">
        <v>45831</v>
      </c>
      <c r="B2300" s="103">
        <v>24971.900390625</v>
      </c>
    </row>
    <row r="2301" spans="1:2" x14ac:dyDescent="0.3">
      <c r="A2301" s="99">
        <v>45832</v>
      </c>
      <c r="B2301" s="103">
        <v>25044.349609375</v>
      </c>
    </row>
    <row r="2302" spans="1:2" x14ac:dyDescent="0.3">
      <c r="A2302" s="99">
        <v>45833</v>
      </c>
      <c r="B2302" s="103">
        <v>25244.75</v>
      </c>
    </row>
    <row r="2303" spans="1:2" x14ac:dyDescent="0.3">
      <c r="A2303" s="99">
        <v>45834</v>
      </c>
      <c r="B2303" s="103">
        <v>25549</v>
      </c>
    </row>
    <row r="2304" spans="1:2" x14ac:dyDescent="0.3">
      <c r="A2304" s="99">
        <v>45835</v>
      </c>
      <c r="B2304" s="103">
        <v>25637.80078125</v>
      </c>
    </row>
    <row r="2305" spans="1:2" x14ac:dyDescent="0.3">
      <c r="A2305" s="99">
        <v>45838</v>
      </c>
      <c r="B2305" s="103">
        <v>25517.05078125</v>
      </c>
    </row>
    <row r="2306" spans="1:2" x14ac:dyDescent="0.3">
      <c r="A2306" s="99">
        <v>45839</v>
      </c>
      <c r="B2306" s="103">
        <v>25541.80078125</v>
      </c>
    </row>
    <row r="2307" spans="1:2" x14ac:dyDescent="0.3">
      <c r="A2307" s="99">
        <v>45840</v>
      </c>
      <c r="B2307" s="103">
        <v>25453.400390625</v>
      </c>
    </row>
    <row r="2308" spans="1:2" x14ac:dyDescent="0.3">
      <c r="A2308" s="99">
        <v>45841</v>
      </c>
      <c r="B2308" s="103">
        <v>25405.30078125</v>
      </c>
    </row>
    <row r="2309" spans="1:2" x14ac:dyDescent="0.3">
      <c r="A2309" s="99">
        <v>45842</v>
      </c>
      <c r="B2309" s="103">
        <v>25461</v>
      </c>
    </row>
    <row r="2310" spans="1:2" x14ac:dyDescent="0.3">
      <c r="A2310" s="99">
        <v>45845</v>
      </c>
      <c r="B2310" s="103">
        <v>25461.30078125</v>
      </c>
    </row>
    <row r="2311" spans="1:2" x14ac:dyDescent="0.3">
      <c r="A2311" s="99">
        <v>45846</v>
      </c>
      <c r="B2311" s="103">
        <v>25522.5</v>
      </c>
    </row>
    <row r="2312" spans="1:2" x14ac:dyDescent="0.3">
      <c r="A2312" s="99">
        <v>45847</v>
      </c>
      <c r="B2312" s="103">
        <v>25476.099609375</v>
      </c>
    </row>
    <row r="2313" spans="1:2" x14ac:dyDescent="0.3">
      <c r="A2313" s="99">
        <v>45848</v>
      </c>
      <c r="B2313" s="103">
        <v>25355.25</v>
      </c>
    </row>
    <row r="2314" spans="1:2" x14ac:dyDescent="0.3">
      <c r="A2314" s="99">
        <v>45849</v>
      </c>
      <c r="B2314" s="103">
        <v>25149.849609375</v>
      </c>
    </row>
    <row r="2315" spans="1:2" x14ac:dyDescent="0.3">
      <c r="A2315" s="99">
        <v>45852</v>
      </c>
      <c r="B2315" s="103">
        <v>25082.30078125</v>
      </c>
    </row>
    <row r="2316" spans="1:2" x14ac:dyDescent="0.3">
      <c r="A2316" s="99">
        <v>45853</v>
      </c>
      <c r="B2316" s="103">
        <v>25195.80078125</v>
      </c>
    </row>
    <row r="2317" spans="1:2" x14ac:dyDescent="0.3">
      <c r="A2317" s="99">
        <v>45854</v>
      </c>
      <c r="B2317" s="103">
        <v>25212.05078125</v>
      </c>
    </row>
    <row r="2318" spans="1:2" x14ac:dyDescent="0.3">
      <c r="A2318" s="99">
        <v>45855</v>
      </c>
      <c r="B2318" s="103">
        <v>25111.44921875</v>
      </c>
    </row>
    <row r="2319" spans="1:2" x14ac:dyDescent="0.3">
      <c r="A2319" s="99">
        <v>45856</v>
      </c>
      <c r="B2319" s="103">
        <v>24968.400390625</v>
      </c>
    </row>
    <row r="2320" spans="1:2" x14ac:dyDescent="0.3">
      <c r="A2320" s="99">
        <v>45859</v>
      </c>
      <c r="B2320" s="103">
        <v>25090.69921875</v>
      </c>
    </row>
    <row r="2321" spans="1:2" x14ac:dyDescent="0.3">
      <c r="A2321" s="99">
        <v>45860</v>
      </c>
      <c r="B2321" s="103">
        <v>25060.900390625</v>
      </c>
    </row>
    <row r="2322" spans="1:2" x14ac:dyDescent="0.3">
      <c r="A2322" s="99">
        <v>45861</v>
      </c>
      <c r="B2322" s="103">
        <v>25219.900390625</v>
      </c>
    </row>
    <row r="2323" spans="1:2" x14ac:dyDescent="0.3">
      <c r="A2323" s="99">
        <v>45862</v>
      </c>
      <c r="B2323" s="103">
        <v>25062.099609375</v>
      </c>
    </row>
    <row r="2324" spans="1:2" x14ac:dyDescent="0.3">
      <c r="A2324" s="99">
        <v>45863</v>
      </c>
      <c r="B2324" s="103">
        <v>24837</v>
      </c>
    </row>
    <row r="2325" spans="1:2" x14ac:dyDescent="0.3">
      <c r="A2325" s="99">
        <v>45866</v>
      </c>
      <c r="B2325" s="103">
        <v>24680.900390625</v>
      </c>
    </row>
    <row r="2326" spans="1:2" x14ac:dyDescent="0.3">
      <c r="A2326" s="99">
        <v>45867</v>
      </c>
      <c r="B2326" s="103">
        <v>24821.099609375</v>
      </c>
    </row>
    <row r="2327" spans="1:2" x14ac:dyDescent="0.3">
      <c r="A2327" s="99">
        <v>45868</v>
      </c>
      <c r="B2327" s="103">
        <v>24855.05078125</v>
      </c>
    </row>
    <row r="2328" spans="1:2" x14ac:dyDescent="0.3">
      <c r="A2328" s="99">
        <v>45869</v>
      </c>
      <c r="B2328" s="103">
        <v>24768.349609375</v>
      </c>
    </row>
    <row r="2329" spans="1:2" x14ac:dyDescent="0.3">
      <c r="A2329" s="99">
        <v>45870</v>
      </c>
      <c r="B2329" s="103">
        <v>24565.349609375</v>
      </c>
    </row>
    <row r="2330" spans="1:2" x14ac:dyDescent="0.3">
      <c r="A2330" s="99">
        <v>45873</v>
      </c>
      <c r="B2330" s="103">
        <v>24722.75</v>
      </c>
    </row>
    <row r="2331" spans="1:2" x14ac:dyDescent="0.3">
      <c r="A2331" s="99">
        <v>45874</v>
      </c>
      <c r="B2331" s="103">
        <v>24649.55078125</v>
      </c>
    </row>
    <row r="2332" spans="1:2" x14ac:dyDescent="0.3">
      <c r="A2332" s="99">
        <v>45875</v>
      </c>
      <c r="B2332" s="103">
        <v>24574.19921875</v>
      </c>
    </row>
    <row r="2333" spans="1:2" x14ac:dyDescent="0.3">
      <c r="A2333" s="99">
        <v>45876</v>
      </c>
      <c r="B2333" s="103">
        <v>24596.150390625</v>
      </c>
    </row>
    <row r="2334" spans="1:2" x14ac:dyDescent="0.3">
      <c r="A2334" s="99">
        <v>45877</v>
      </c>
      <c r="B2334" s="103">
        <v>24363.30078125</v>
      </c>
    </row>
    <row r="2335" spans="1:2" x14ac:dyDescent="0.3">
      <c r="A2335" s="99">
        <v>45880</v>
      </c>
      <c r="B2335" s="103">
        <v>24585.05078125</v>
      </c>
    </row>
    <row r="2336" spans="1:2" x14ac:dyDescent="0.3">
      <c r="A2336" s="99">
        <v>45881</v>
      </c>
      <c r="B2336" s="103">
        <v>24487.400390625</v>
      </c>
    </row>
    <row r="2337" spans="1:2" x14ac:dyDescent="0.3">
      <c r="A2337" s="99">
        <v>45882</v>
      </c>
      <c r="B2337" s="103">
        <v>24619.349609375</v>
      </c>
    </row>
    <row r="2338" spans="1:2" x14ac:dyDescent="0.3">
      <c r="A2338" s="99">
        <v>45883</v>
      </c>
      <c r="B2338" s="103">
        <v>24631.30078125</v>
      </c>
    </row>
    <row r="2339" spans="1:2" x14ac:dyDescent="0.3">
      <c r="A2339" s="99">
        <v>45887</v>
      </c>
      <c r="B2339" s="103">
        <v>24876.94921875</v>
      </c>
    </row>
    <row r="2340" spans="1:2" x14ac:dyDescent="0.3">
      <c r="A2340" s="99">
        <v>45888</v>
      </c>
      <c r="B2340" s="103">
        <v>24980.650390625</v>
      </c>
    </row>
    <row r="2341" spans="1:2" x14ac:dyDescent="0.3">
      <c r="A2341" s="99">
        <v>45889</v>
      </c>
      <c r="B2341" s="103">
        <v>25050.55078125</v>
      </c>
    </row>
    <row r="2342" spans="1:2" x14ac:dyDescent="0.3">
      <c r="A2342" s="99">
        <v>45890</v>
      </c>
      <c r="B2342" s="103">
        <v>25083.75</v>
      </c>
    </row>
    <row r="2343" spans="1:2" x14ac:dyDescent="0.3">
      <c r="A2343" s="99">
        <v>45891</v>
      </c>
      <c r="B2343" s="103">
        <v>24870.099609375</v>
      </c>
    </row>
    <row r="2344" spans="1:2" x14ac:dyDescent="0.3">
      <c r="A2344" s="99">
        <v>45894</v>
      </c>
      <c r="B2344" s="103">
        <v>24967.75</v>
      </c>
    </row>
    <row r="2345" spans="1:2" x14ac:dyDescent="0.3">
      <c r="A2345" s="99">
        <v>45895</v>
      </c>
      <c r="B2345" s="103">
        <v>24712.05078125</v>
      </c>
    </row>
    <row r="2346" spans="1:2" x14ac:dyDescent="0.3">
      <c r="A2346" s="99">
        <v>45897</v>
      </c>
      <c r="B2346" s="103">
        <v>24500.900390625</v>
      </c>
    </row>
    <row r="2347" spans="1:2" x14ac:dyDescent="0.3">
      <c r="A2347" s="99">
        <v>45898</v>
      </c>
      <c r="B2347" s="103">
        <v>24426.849609375</v>
      </c>
    </row>
    <row r="2348" spans="1:2" x14ac:dyDescent="0.3">
      <c r="A2348" s="99">
        <v>45901</v>
      </c>
      <c r="B2348" s="103">
        <v>24625.05078125</v>
      </c>
    </row>
    <row r="2349" spans="1:2" x14ac:dyDescent="0.3">
      <c r="A2349" s="99">
        <v>45902</v>
      </c>
      <c r="B2349" s="103">
        <v>24579.599609375</v>
      </c>
    </row>
    <row r="2350" spans="1:2" x14ac:dyDescent="0.3">
      <c r="A2350" s="99">
        <v>45903</v>
      </c>
      <c r="B2350" s="103">
        <v>24715.05078125</v>
      </c>
    </row>
    <row r="2351" spans="1:2" x14ac:dyDescent="0.3">
      <c r="A2351" s="99">
        <v>45904</v>
      </c>
      <c r="B2351" s="103">
        <v>24734.30078125</v>
      </c>
    </row>
    <row r="2352" spans="1:2" x14ac:dyDescent="0.3">
      <c r="A2352" s="99">
        <v>45905</v>
      </c>
      <c r="B2352" s="103">
        <v>24741</v>
      </c>
    </row>
    <row r="2353" spans="1:2" x14ac:dyDescent="0.3">
      <c r="A2353" s="99">
        <v>45908</v>
      </c>
      <c r="B2353" s="103">
        <v>24773.150390625</v>
      </c>
    </row>
    <row r="2354" spans="1:2" x14ac:dyDescent="0.3">
      <c r="A2354" s="99">
        <v>45909</v>
      </c>
      <c r="B2354" s="103">
        <v>24868.599609375</v>
      </c>
    </row>
    <row r="2355" spans="1:2" x14ac:dyDescent="0.3">
      <c r="A2355" s="99">
        <v>45910</v>
      </c>
      <c r="B2355" s="103">
        <v>24973.099609375</v>
      </c>
    </row>
    <row r="2356" spans="1:2" x14ac:dyDescent="0.3">
      <c r="A2356" s="99">
        <v>45911</v>
      </c>
      <c r="B2356" s="103">
        <v>25005.5</v>
      </c>
    </row>
    <row r="2357" spans="1:2" x14ac:dyDescent="0.3">
      <c r="A2357" s="99">
        <v>45912</v>
      </c>
      <c r="B2357" s="103">
        <v>25114</v>
      </c>
    </row>
    <row r="2358" spans="1:2" x14ac:dyDescent="0.3">
      <c r="A2358" s="99">
        <v>45915</v>
      </c>
      <c r="B2358" s="103">
        <v>25069.19921875</v>
      </c>
    </row>
    <row r="2359" spans="1:2" x14ac:dyDescent="0.3">
      <c r="A2359" s="99">
        <v>45916</v>
      </c>
      <c r="B2359" s="103">
        <v>25239.099609375</v>
      </c>
    </row>
    <row r="2360" spans="1:2" x14ac:dyDescent="0.3">
      <c r="A2360" s="99">
        <v>45917</v>
      </c>
      <c r="B2360" s="103">
        <v>25330.25</v>
      </c>
    </row>
    <row r="2361" spans="1:2" x14ac:dyDescent="0.3">
      <c r="A2361" s="99">
        <v>45918</v>
      </c>
      <c r="B2361" s="103">
        <v>25423.599609375</v>
      </c>
    </row>
    <row r="2362" spans="1:2" x14ac:dyDescent="0.3">
      <c r="A2362" s="99">
        <v>45919</v>
      </c>
      <c r="B2362" s="103">
        <v>25327.05078125</v>
      </c>
    </row>
    <row r="2363" spans="1:2" x14ac:dyDescent="0.3">
      <c r="A2363" s="99">
        <v>45922</v>
      </c>
      <c r="B2363" s="103">
        <v>25202.349609375</v>
      </c>
    </row>
    <row r="2364" spans="1:2" x14ac:dyDescent="0.3">
      <c r="A2364" s="99">
        <v>45923</v>
      </c>
      <c r="B2364" s="103">
        <v>25169.5</v>
      </c>
    </row>
    <row r="2365" spans="1:2" x14ac:dyDescent="0.3">
      <c r="A2365" s="99">
        <v>45924</v>
      </c>
      <c r="B2365" s="103">
        <v>25056.900390625</v>
      </c>
    </row>
    <row r="2366" spans="1:2" x14ac:dyDescent="0.3">
      <c r="A2366" s="99">
        <v>45925</v>
      </c>
      <c r="B2366" s="103">
        <v>24890.849609375</v>
      </c>
    </row>
    <row r="2367" spans="1:2" x14ac:dyDescent="0.3">
      <c r="A2367" s="99">
        <v>45926</v>
      </c>
      <c r="B2367" s="103">
        <v>24654.69921875</v>
      </c>
    </row>
    <row r="2368" spans="1:2" x14ac:dyDescent="0.3">
      <c r="A2368" s="99">
        <v>45929</v>
      </c>
      <c r="B2368" s="103">
        <v>24634.900390625</v>
      </c>
    </row>
    <row r="2369" spans="1:2" x14ac:dyDescent="0.3">
      <c r="A2369" s="99">
        <v>45930</v>
      </c>
      <c r="B2369" s="103">
        <v>24611.099609375</v>
      </c>
    </row>
    <row r="2370" spans="1:2" x14ac:dyDescent="0.3">
      <c r="A2370" s="99">
        <v>45931</v>
      </c>
      <c r="B2370" s="103">
        <v>24836.30078125</v>
      </c>
    </row>
    <row r="2371" spans="1:2" x14ac:dyDescent="0.3">
      <c r="A2371" s="99">
        <v>45933</v>
      </c>
      <c r="B2371" s="103">
        <v>24894.25</v>
      </c>
    </row>
    <row r="2372" spans="1:2" x14ac:dyDescent="0.3">
      <c r="A2372" s="99">
        <v>45936</v>
      </c>
      <c r="B2372" s="103">
        <v>25077.650390625</v>
      </c>
    </row>
    <row r="2373" spans="1:2" x14ac:dyDescent="0.3">
      <c r="A2373" s="99">
        <v>45937</v>
      </c>
      <c r="B2373" s="103">
        <v>25108.30078125</v>
      </c>
    </row>
    <row r="2374" spans="1:2" x14ac:dyDescent="0.3">
      <c r="A2374" s="99">
        <v>45938</v>
      </c>
      <c r="B2374" s="103">
        <v>25046.150390625</v>
      </c>
    </row>
    <row r="2375" spans="1:2" x14ac:dyDescent="0.3">
      <c r="A2375" s="99">
        <v>45939</v>
      </c>
      <c r="B2375" s="103">
        <v>25181.80078125</v>
      </c>
    </row>
    <row r="2376" spans="1:2" x14ac:dyDescent="0.3">
      <c r="A2376" s="99">
        <v>45940</v>
      </c>
      <c r="B2376" s="103">
        <v>25285.349609375</v>
      </c>
    </row>
    <row r="2377" spans="1:2" x14ac:dyDescent="0.3">
      <c r="A2377" s="99">
        <v>45943</v>
      </c>
      <c r="B2377" s="103">
        <v>25227.349609375</v>
      </c>
    </row>
    <row r="2378" spans="1:2" x14ac:dyDescent="0.3">
      <c r="A2378" s="99">
        <v>45944</v>
      </c>
      <c r="B2378" s="103">
        <v>25145.5</v>
      </c>
    </row>
    <row r="2379" spans="1:2" x14ac:dyDescent="0.3">
      <c r="A2379" s="99">
        <v>45945</v>
      </c>
      <c r="B2379" s="103">
        <v>25323.55078125</v>
      </c>
    </row>
    <row r="2380" spans="1:2" x14ac:dyDescent="0.3">
      <c r="A2380" s="99">
        <v>45946</v>
      </c>
      <c r="B2380" s="103">
        <v>25585.30078125</v>
      </c>
    </row>
    <row r="2381" spans="1:2" x14ac:dyDescent="0.3">
      <c r="A2381" s="99">
        <v>45947</v>
      </c>
      <c r="B2381" s="103">
        <v>25709.849609375</v>
      </c>
    </row>
    <row r="2382" spans="1:2" x14ac:dyDescent="0.3">
      <c r="A2382" s="99">
        <v>45950</v>
      </c>
      <c r="B2382" s="103">
        <v>25843.150390625</v>
      </c>
    </row>
    <row r="2383" spans="1:2" x14ac:dyDescent="0.3">
      <c r="A2383" s="99">
        <v>45951</v>
      </c>
      <c r="B2383" s="103">
        <v>25868.599609375</v>
      </c>
    </row>
    <row r="2384" spans="1:2" x14ac:dyDescent="0.3">
      <c r="A2384" s="99">
        <v>45953</v>
      </c>
      <c r="B2384" s="103">
        <v>25891.400390625</v>
      </c>
    </row>
    <row r="2385" spans="1:2" x14ac:dyDescent="0.3">
      <c r="A2385" s="99">
        <v>45954</v>
      </c>
      <c r="B2385" s="103">
        <v>25795.150390625</v>
      </c>
    </row>
    <row r="2386" spans="1:2" x14ac:dyDescent="0.3">
      <c r="A2386" s="99">
        <v>45957</v>
      </c>
      <c r="B2386" s="103">
        <v>25966.05078125</v>
      </c>
    </row>
    <row r="2387" spans="1:2" x14ac:dyDescent="0.3">
      <c r="A2387" s="99">
        <v>45958</v>
      </c>
      <c r="B2387" s="103">
        <v>25936.19921875</v>
      </c>
    </row>
    <row r="2388" spans="1:2" x14ac:dyDescent="0.3">
      <c r="A2388" s="99">
        <v>45959</v>
      </c>
      <c r="B2388" s="103">
        <v>26053.900390625</v>
      </c>
    </row>
    <row r="2389" spans="1:2" x14ac:dyDescent="0.3">
      <c r="A2389" s="99">
        <v>45960</v>
      </c>
      <c r="B2389" s="103">
        <v>25877.849609375</v>
      </c>
    </row>
    <row r="2390" spans="1:2" x14ac:dyDescent="0.3">
      <c r="A2390" s="99">
        <v>45961</v>
      </c>
      <c r="B2390" s="103">
        <v>25722.099609375</v>
      </c>
    </row>
    <row r="2391" spans="1:2" x14ac:dyDescent="0.3">
      <c r="A2391" s="99">
        <v>45964</v>
      </c>
      <c r="B2391" s="103">
        <v>25763.349609375</v>
      </c>
    </row>
    <row r="2392" spans="1:2" x14ac:dyDescent="0.3">
      <c r="A2392" s="99">
        <v>45965</v>
      </c>
      <c r="B2392" s="103">
        <v>25597.650390625</v>
      </c>
    </row>
    <row r="2393" spans="1:2" x14ac:dyDescent="0.3">
      <c r="A2393" s="99">
        <v>45967</v>
      </c>
      <c r="B2393" s="103">
        <v>25509.69921875</v>
      </c>
    </row>
    <row r="2394" spans="1:2" x14ac:dyDescent="0.3">
      <c r="A2394" s="99">
        <v>45968</v>
      </c>
      <c r="B2394" s="103">
        <v>25492.30078125</v>
      </c>
    </row>
    <row r="2395" spans="1:2" x14ac:dyDescent="0.3">
      <c r="A2395" s="99">
        <v>45971</v>
      </c>
      <c r="B2395" s="103">
        <v>25574.349609375</v>
      </c>
    </row>
    <row r="2396" spans="1:2" x14ac:dyDescent="0.3">
      <c r="A2396" s="99">
        <v>45972</v>
      </c>
      <c r="B2396" s="103">
        <v>25694.94921875</v>
      </c>
    </row>
    <row r="2397" spans="1:2" x14ac:dyDescent="0.3">
      <c r="A2397" s="99">
        <v>45973</v>
      </c>
      <c r="B2397" s="103">
        <v>25875.80078125</v>
      </c>
    </row>
    <row r="2398" spans="1:2" x14ac:dyDescent="0.3">
      <c r="A2398" s="99">
        <v>45974</v>
      </c>
      <c r="B2398" s="103">
        <v>25879.150390625</v>
      </c>
    </row>
    <row r="2399" spans="1:2" x14ac:dyDescent="0.3">
      <c r="A2399" s="99">
        <v>45975</v>
      </c>
      <c r="B2399" s="103">
        <v>25910.05078125</v>
      </c>
    </row>
    <row r="2400" spans="1:2" x14ac:dyDescent="0.3">
      <c r="A2400" s="99">
        <v>45978</v>
      </c>
      <c r="B2400" s="103">
        <v>26013.44921875</v>
      </c>
    </row>
    <row r="2401" spans="1:2" x14ac:dyDescent="0.3">
      <c r="A2401" s="99">
        <v>45979</v>
      </c>
      <c r="B2401" s="103">
        <v>25910.05078125</v>
      </c>
    </row>
    <row r="2402" spans="1:2" x14ac:dyDescent="0.3">
      <c r="A2402" s="99">
        <v>45980</v>
      </c>
      <c r="B2402" s="103">
        <v>26052.650390625</v>
      </c>
    </row>
    <row r="2403" spans="1:2" x14ac:dyDescent="0.3">
      <c r="A2403" s="99">
        <v>45981</v>
      </c>
      <c r="B2403" s="103">
        <v>26192.150390625</v>
      </c>
    </row>
    <row r="2404" spans="1:2" x14ac:dyDescent="0.3">
      <c r="A2404" s="99">
        <v>45982</v>
      </c>
      <c r="B2404" s="103">
        <v>26068.150390625</v>
      </c>
    </row>
    <row r="2405" spans="1:2" x14ac:dyDescent="0.3">
      <c r="A2405" s="99">
        <v>45985</v>
      </c>
      <c r="B2405" s="103">
        <v>25959.5</v>
      </c>
    </row>
    <row r="2406" spans="1:2" x14ac:dyDescent="0.3">
      <c r="A2406" s="99">
        <v>45986</v>
      </c>
      <c r="B2406" s="103">
        <v>25884.80078125</v>
      </c>
    </row>
    <row r="2407" spans="1:2" x14ac:dyDescent="0.3">
      <c r="A2407" s="99">
        <v>45987</v>
      </c>
      <c r="B2407" s="103">
        <v>26205.30078125</v>
      </c>
    </row>
    <row r="2408" spans="1:2" x14ac:dyDescent="0.3">
      <c r="A2408" s="99">
        <v>45988</v>
      </c>
      <c r="B2408" s="103">
        <v>26215.55078125</v>
      </c>
    </row>
    <row r="2409" spans="1:2" x14ac:dyDescent="0.3">
      <c r="A2409" s="99">
        <v>45989</v>
      </c>
      <c r="B2409" s="103">
        <v>26202.94921875</v>
      </c>
    </row>
    <row r="2410" spans="1:2" x14ac:dyDescent="0.3">
      <c r="A2410" s="99">
        <v>45992</v>
      </c>
      <c r="B2410" s="103">
        <v>26175.75</v>
      </c>
    </row>
    <row r="2411" spans="1:2" x14ac:dyDescent="0.3">
      <c r="A2411" s="99">
        <v>45993</v>
      </c>
      <c r="B2411" s="103">
        <v>26032.19921875</v>
      </c>
    </row>
    <row r="2412" spans="1:2" x14ac:dyDescent="0.3">
      <c r="A2412" s="99">
        <v>45994</v>
      </c>
      <c r="B2412" s="103">
        <v>25986</v>
      </c>
    </row>
    <row r="2413" spans="1:2" x14ac:dyDescent="0.3">
      <c r="A2413" s="99">
        <v>45995</v>
      </c>
      <c r="B2413" s="103">
        <v>26033.75</v>
      </c>
    </row>
    <row r="2414" spans="1:2" x14ac:dyDescent="0.3">
      <c r="A2414" s="99">
        <v>45996</v>
      </c>
      <c r="B2414" s="103">
        <v>26186.44921875</v>
      </c>
    </row>
    <row r="2415" spans="1:2" x14ac:dyDescent="0.3">
      <c r="A2415" s="99">
        <v>45999</v>
      </c>
      <c r="B2415" s="103">
        <v>25960.55078125</v>
      </c>
    </row>
    <row r="2416" spans="1:2" x14ac:dyDescent="0.3">
      <c r="A2416" s="99">
        <v>46000</v>
      </c>
      <c r="B2416" s="103">
        <v>25839.650390625</v>
      </c>
    </row>
    <row r="2417" spans="1:2" x14ac:dyDescent="0.3">
      <c r="A2417" s="99">
        <v>46001</v>
      </c>
      <c r="B2417" s="103">
        <v>25758</v>
      </c>
    </row>
    <row r="2418" spans="1:2" x14ac:dyDescent="0.3">
      <c r="A2418" s="99">
        <v>46002</v>
      </c>
      <c r="B2418" s="103">
        <v>25898.55078125</v>
      </c>
    </row>
    <row r="2419" spans="1:2" x14ac:dyDescent="0.3">
      <c r="A2419" s="99">
        <v>46003</v>
      </c>
      <c r="B2419" s="103">
        <v>26046.94921875</v>
      </c>
    </row>
    <row r="2420" spans="1:2" x14ac:dyDescent="0.3">
      <c r="A2420" s="99">
        <v>46006</v>
      </c>
      <c r="B2420" s="103">
        <v>26027.30078125</v>
      </c>
    </row>
    <row r="2421" spans="1:2" x14ac:dyDescent="0.3">
      <c r="A2421" s="99">
        <v>46007</v>
      </c>
      <c r="B2421" s="103">
        <v>25860.099609375</v>
      </c>
    </row>
    <row r="2422" spans="1:2" x14ac:dyDescent="0.3">
      <c r="A2422" s="99">
        <v>46008</v>
      </c>
      <c r="B2422" s="103">
        <v>25818.55078125</v>
      </c>
    </row>
    <row r="2423" spans="1:2" x14ac:dyDescent="0.3">
      <c r="A2423" s="99">
        <v>46009</v>
      </c>
      <c r="B2423" s="103">
        <v>25815.55078125</v>
      </c>
    </row>
    <row r="2424" spans="1:2" x14ac:dyDescent="0.3">
      <c r="A2424" s="99">
        <v>46010</v>
      </c>
      <c r="B2424" s="103">
        <v>25966.400390625</v>
      </c>
    </row>
    <row r="2425" spans="1:2" x14ac:dyDescent="0.3">
      <c r="A2425" s="99">
        <v>46013</v>
      </c>
      <c r="B2425" s="103">
        <v>26172.400390625</v>
      </c>
    </row>
    <row r="2426" spans="1:2" x14ac:dyDescent="0.3">
      <c r="A2426" s="99">
        <v>46014</v>
      </c>
      <c r="B2426" s="103">
        <v>26177.150390625</v>
      </c>
    </row>
    <row r="2427" spans="1:2" x14ac:dyDescent="0.3">
      <c r="A2427" s="99">
        <v>46015</v>
      </c>
      <c r="B2427" s="103">
        <v>26142.099609375</v>
      </c>
    </row>
    <row r="2428" spans="1:2" x14ac:dyDescent="0.3">
      <c r="A2428" s="99">
        <v>46017</v>
      </c>
      <c r="B2428" s="103">
        <v>26042.30078125</v>
      </c>
    </row>
    <row r="2429" spans="1:2" x14ac:dyDescent="0.3">
      <c r="A2429" s="99">
        <v>46020</v>
      </c>
      <c r="B2429" s="103">
        <v>25942.099609375</v>
      </c>
    </row>
    <row r="2430" spans="1:2" x14ac:dyDescent="0.3">
      <c r="A2430" s="99">
        <v>46021</v>
      </c>
      <c r="B2430" s="103">
        <v>25938.849609375</v>
      </c>
    </row>
    <row r="2431" spans="1:2" x14ac:dyDescent="0.3">
      <c r="A2431" s="99">
        <v>46022</v>
      </c>
      <c r="B2431" s="103">
        <v>26129.599609375</v>
      </c>
    </row>
    <row r="2432" spans="1:2" x14ac:dyDescent="0.3">
      <c r="A2432" s="99">
        <v>46023</v>
      </c>
      <c r="B2432" s="103">
        <v>26146.55078125</v>
      </c>
    </row>
    <row r="2433" spans="1:2" x14ac:dyDescent="0.3">
      <c r="A2433" s="99">
        <v>46024</v>
      </c>
      <c r="B2433" s="103">
        <v>26328.55078125</v>
      </c>
    </row>
    <row r="2434" spans="1:2" x14ac:dyDescent="0.3">
      <c r="A2434" s="99">
        <v>46027</v>
      </c>
      <c r="B2434" s="103">
        <v>26250.30078125</v>
      </c>
    </row>
    <row r="2435" spans="1:2" x14ac:dyDescent="0.3">
      <c r="A2435" s="99">
        <v>46028</v>
      </c>
      <c r="B2435" s="103">
        <v>26178.69921875</v>
      </c>
    </row>
    <row r="2436" spans="1:2" x14ac:dyDescent="0.3">
      <c r="A2436" s="99">
        <v>46029</v>
      </c>
      <c r="B2436" s="103">
        <v>26140.75</v>
      </c>
    </row>
    <row r="2437" spans="1:2" x14ac:dyDescent="0.3">
      <c r="A2437" s="99">
        <v>46030</v>
      </c>
      <c r="B2437" s="103">
        <v>25876.849609375</v>
      </c>
    </row>
    <row r="2438" spans="1:2" x14ac:dyDescent="0.3">
      <c r="A2438" s="99">
        <v>46031</v>
      </c>
      <c r="B2438" s="103">
        <v>25683.30078125</v>
      </c>
    </row>
    <row r="2439" spans="1:2" x14ac:dyDescent="0.3">
      <c r="A2439" s="99">
        <v>46034</v>
      </c>
      <c r="B2439" s="103">
        <v>25790.25</v>
      </c>
    </row>
    <row r="2440" spans="1:2" x14ac:dyDescent="0.3">
      <c r="A2440" s="99">
        <v>46035</v>
      </c>
      <c r="B2440" s="103">
        <v>25732.30078125</v>
      </c>
    </row>
    <row r="2441" spans="1:2" x14ac:dyDescent="0.3">
      <c r="A2441" s="99">
        <v>46036</v>
      </c>
      <c r="B2441" s="103">
        <v>25665.599609375</v>
      </c>
    </row>
    <row r="2442" spans="1:2" x14ac:dyDescent="0.3">
      <c r="A2442" s="99">
        <v>46038</v>
      </c>
      <c r="B2442" s="103">
        <v>25694.349609375</v>
      </c>
    </row>
    <row r="2443" spans="1:2" x14ac:dyDescent="0.3">
      <c r="A2443" s="99">
        <v>46041</v>
      </c>
      <c r="B2443" s="103">
        <v>25585.5</v>
      </c>
    </row>
    <row r="2444" spans="1:2" x14ac:dyDescent="0.3">
      <c r="A2444" s="99">
        <v>46042</v>
      </c>
      <c r="B2444" s="103">
        <v>25232.5</v>
      </c>
    </row>
    <row r="2445" spans="1:2" x14ac:dyDescent="0.3">
      <c r="A2445" s="99">
        <v>46043</v>
      </c>
      <c r="B2445" s="103">
        <v>25157.5</v>
      </c>
    </row>
    <row r="2446" spans="1:2" x14ac:dyDescent="0.3">
      <c r="A2446" s="99">
        <v>46044</v>
      </c>
      <c r="B2446" s="103">
        <v>25289.900390625</v>
      </c>
    </row>
    <row r="2447" spans="1:2" x14ac:dyDescent="0.3">
      <c r="A2447" s="99">
        <v>46045</v>
      </c>
      <c r="B2447" s="103">
        <v>25048.650390625</v>
      </c>
    </row>
    <row r="2448" spans="1:2" x14ac:dyDescent="0.3">
      <c r="A2448" s="99">
        <v>46049</v>
      </c>
      <c r="B2448" s="103">
        <v>25175.400390625</v>
      </c>
    </row>
    <row r="2449" spans="1:2" x14ac:dyDescent="0.3">
      <c r="A2449" s="99">
        <v>46050</v>
      </c>
      <c r="B2449" s="103">
        <v>25342.75</v>
      </c>
    </row>
    <row r="2450" spans="1:2" x14ac:dyDescent="0.3">
      <c r="A2450" s="99">
        <v>46051</v>
      </c>
      <c r="B2450" s="103">
        <v>25418.900390625</v>
      </c>
    </row>
    <row r="2451" spans="1:2" x14ac:dyDescent="0.3">
      <c r="A2451" s="99">
        <v>46052</v>
      </c>
      <c r="B2451" s="103">
        <v>25320.650390625</v>
      </c>
    </row>
    <row r="2452" spans="1:2" x14ac:dyDescent="0.3">
      <c r="A2452" s="99">
        <v>46055</v>
      </c>
      <c r="B2452" s="103">
        <v>25088.400390625</v>
      </c>
    </row>
    <row r="2453" spans="1:2" x14ac:dyDescent="0.3">
      <c r="A2453" s="99">
        <v>46056</v>
      </c>
      <c r="B2453" s="103">
        <v>25727.55078125</v>
      </c>
    </row>
    <row r="2454" spans="1:2" x14ac:dyDescent="0.3">
      <c r="A2454" s="99">
        <v>46057</v>
      </c>
      <c r="B2454" s="103">
        <v>25776</v>
      </c>
    </row>
    <row r="2455" spans="1:2" x14ac:dyDescent="0.3">
      <c r="A2455" s="99">
        <v>46058</v>
      </c>
      <c r="B2455" s="103">
        <v>25642.80078125</v>
      </c>
    </row>
    <row r="2456" spans="1:2" x14ac:dyDescent="0.3">
      <c r="A2456" s="99">
        <v>46059</v>
      </c>
      <c r="B2456" s="103">
        <v>25693.69921875</v>
      </c>
    </row>
    <row r="2457" spans="1:2" x14ac:dyDescent="0.3">
      <c r="A2457" s="99">
        <v>46062</v>
      </c>
      <c r="B2457" s="103">
        <v>25867.30078125</v>
      </c>
    </row>
    <row r="2458" spans="1:2" x14ac:dyDescent="0.3">
      <c r="A2458" s="99">
        <v>46063</v>
      </c>
      <c r="B2458" s="103">
        <v>25935.150390625</v>
      </c>
    </row>
    <row r="2459" spans="1:2" x14ac:dyDescent="0.3">
      <c r="A2459" s="99">
        <v>46064</v>
      </c>
      <c r="B2459" s="103">
        <v>25953.849609375</v>
      </c>
    </row>
    <row r="2460" spans="1:2" x14ac:dyDescent="0.3">
      <c r="A2460" s="99">
        <v>46065</v>
      </c>
      <c r="B2460" s="103">
        <v>25807.19921875</v>
      </c>
    </row>
    <row r="2461" spans="1:2" x14ac:dyDescent="0.3">
      <c r="A2461" s="99">
        <v>46066</v>
      </c>
      <c r="B2461" s="103">
        <v>25471.099609375</v>
      </c>
    </row>
    <row r="2462" spans="1:2" x14ac:dyDescent="0.3">
      <c r="A2462" s="99">
        <v>46069</v>
      </c>
      <c r="B2462" s="103">
        <v>25682.75</v>
      </c>
    </row>
    <row r="2463" spans="1:2" x14ac:dyDescent="0.3">
      <c r="A2463" s="99">
        <v>46070</v>
      </c>
      <c r="B2463" s="103">
        <v>25725.400390625</v>
      </c>
    </row>
    <row r="2464" spans="1:2" x14ac:dyDescent="0.3">
      <c r="A2464" s="99">
        <v>46071</v>
      </c>
      <c r="B2464" s="103">
        <v>25819.349609375</v>
      </c>
    </row>
    <row r="2465" spans="1:2" x14ac:dyDescent="0.3">
      <c r="A2465" s="99">
        <v>46072</v>
      </c>
      <c r="B2465" s="103">
        <v>25454.349609375</v>
      </c>
    </row>
    <row r="2466" spans="1:2" x14ac:dyDescent="0.3">
      <c r="A2466" s="99">
        <v>46073</v>
      </c>
      <c r="B2466" s="103">
        <v>25571.25</v>
      </c>
    </row>
    <row r="2467" spans="1:2" x14ac:dyDescent="0.3">
      <c r="A2467" s="99">
        <v>46076</v>
      </c>
      <c r="B2467" s="103">
        <v>25713</v>
      </c>
    </row>
    <row r="2468" spans="1:2" x14ac:dyDescent="0.3">
      <c r="A2468" s="99">
        <v>46077</v>
      </c>
      <c r="B2468" s="103">
        <v>25424.650390625</v>
      </c>
    </row>
    <row r="2469" spans="1:2" x14ac:dyDescent="0.3">
      <c r="A2469" s="100">
        <v>46078</v>
      </c>
      <c r="B2469" s="104">
        <v>25482.5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7D551C-28FE-49E3-B54F-A083E0A757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Historicals</vt:lpstr>
      <vt:lpstr>Model</vt:lpstr>
      <vt:lpstr>Scenarios</vt:lpstr>
      <vt:lpstr>Comps_Data</vt:lpstr>
      <vt:lpstr>Comps</vt:lpstr>
      <vt:lpstr>WACC</vt:lpstr>
      <vt:lpstr>Beta</vt:lpstr>
      <vt:lpstr>Market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patel</dc:creator>
  <cp:lastModifiedBy>anuj patel</cp:lastModifiedBy>
  <dcterms:created xsi:type="dcterms:W3CDTF">2026-02-21T12:35:31Z</dcterms:created>
  <dcterms:modified xsi:type="dcterms:W3CDTF">2026-05-17T07:50:42Z</dcterms:modified>
</cp:coreProperties>
</file>